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puts" sheetId="3" state="visible" r:id="rId5"/>
    <sheet name="Historical" sheetId="4" state="visible" r:id="rId6"/>
    <sheet name="Forecast" sheetId="5" state="visible" r:id="rId7"/>
    <sheet name="WACC" sheetId="6" state="visible" r:id="rId8"/>
    <sheet name="DCF" sheetId="7" state="visible" r:id="rId9"/>
    <sheet name="Sensitivity" sheetId="8" state="visible" r:id="rId10"/>
    <sheet name="Dashboard" sheetId="9" state="visible" r:id="rId11"/>
    <sheet name="Charts" sheetId="10" state="visible" r:id="rId12"/>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F15" authorId="0">
      <text>
        <r>
          <rPr>
            <sz val="10"/>
            <rFont val="Arial"/>
            <family val="2"/>
          </rPr>
          <t xml:space="preserve">Approximated — not pulled directly from the FY23/FY25 10-K. Verify against SEC EDGAR before final use.</t>
        </r>
      </text>
    </comment>
  </commentList>
</comments>
</file>

<file path=xl/sharedStrings.xml><?xml version="1.0" encoding="utf-8"?>
<sst xmlns="http://schemas.openxmlformats.org/spreadsheetml/2006/main" count="331" uniqueCount="242">
  <si>
    <t xml:space="preserve">NVIDIA CORPORATION (NASDAQ: NVDA)</t>
  </si>
  <si>
    <t xml:space="preserve">Discounted Cash Flow Valuation — Institutional-Quality Model</t>
  </si>
  <si>
    <t xml:space="preserve">Prepared for:</t>
  </si>
  <si>
    <t xml:space="preserve">Investment Banking / Equity Research / PE Portfolio Project</t>
  </si>
  <si>
    <t xml:space="preserve">Analyst:</t>
  </si>
  <si>
    <t xml:space="preserve">Parth Kaushik</t>
  </si>
  <si>
    <t xml:space="preserve">Date prepared:</t>
  </si>
  <si>
    <t xml:space="preserve">August 2026</t>
  </si>
  <si>
    <t xml:space="preserve">Ticker / Exchange:</t>
  </si>
  <si>
    <t xml:space="preserve">NVDA / NASDAQ</t>
  </si>
  <si>
    <t xml:space="preserve">Sector:</t>
  </si>
  <si>
    <t xml:space="preserve">Information Technology — Semiconductors</t>
  </si>
  <si>
    <t xml:space="preserve">Fiscal year end:</t>
  </si>
  <si>
    <t xml:space="preserve">Late January (FY2026 = year ended 1/25/2026)</t>
  </si>
  <si>
    <t xml:space="preserve">MODEL SUMMARY</t>
  </si>
  <si>
    <t xml:space="preserve">Active scenario:</t>
  </si>
  <si>
    <t xml:space="preserve">WACC (active):</t>
  </si>
  <si>
    <t xml:space="preserve">Current share price:</t>
  </si>
  <si>
    <t xml:space="preserve">Intrinsic value — Perpetuity method:</t>
  </si>
  <si>
    <t xml:space="preserve">Intrinsic value — Exit multiple method:</t>
  </si>
  <si>
    <t xml:space="preserve">DISCLAIMER</t>
  </si>
  <si>
    <t xml:space="preserve">This model is an educational / portfolio project built for training and interview-preparation purposes. It is not investment advice and should not be relied upon to make an actual investment decision. All historical figures are sourced from NVIDIA's SEC filings and public disclosures as cited throughout the workbook; all forecast figures are the analyst's own estimates and assumptions.</t>
  </si>
  <si>
    <t xml:space="preserve">HOW TO USE THIS WORKBOOK</t>
  </si>
  <si>
    <t xml:space="preserve">Tab</t>
  </si>
  <si>
    <t xml:space="preserve">Purpose</t>
  </si>
  <si>
    <t xml:space="preserve">Cover</t>
  </si>
  <si>
    <t xml:space="preserve">Title page and one-line model summary (pulls live from DCF tab).</t>
  </si>
  <si>
    <t xml:space="preserve">Instructions</t>
  </si>
  <si>
    <t xml:space="preserve">This tab.</t>
  </si>
  <si>
    <t xml:space="preserve">Inputs</t>
  </si>
  <si>
    <t xml:space="preserve">EVERY assumption in the model lives here, including the Bear/Base/Bull scenario toggle. Change the dropdown in cell C3 and the entire model — Forecast, WACC, DCF, Dashboard — recalculates automatically.</t>
  </si>
  <si>
    <t xml:space="preserve">Historical</t>
  </si>
  <si>
    <t xml:space="preserve">FY2022–FY2026 actual income statement, sourced from NVIDIA's 10-K filings and earnings releases.</t>
  </si>
  <si>
    <t xml:space="preserve">Forecast</t>
  </si>
  <si>
    <t xml:space="preserve">FY2027–FY2031 revenue-to-free-cash-flow build. Every driver (growth, margin, opex, tax, capex, NWC) is pulled from the Inputs tab's Active column.</t>
  </si>
  <si>
    <t xml:space="preserve">WACC</t>
  </si>
  <si>
    <t xml:space="preserve">Full CAPM-based derivation of the base-case discount rate.</t>
  </si>
  <si>
    <t xml:space="preserve">DCF</t>
  </si>
  <si>
    <t xml:space="preserve">Discounts the forecast FCF, builds terminal value under BOTH the Perpetuity Growth and Exit Multiple methods, and bridges to an intrinsic share price.</t>
  </si>
  <si>
    <t xml:space="preserve">Sensitivity</t>
  </si>
  <si>
    <t xml:space="preserve">Two-way data tables: WACC vs. Terminal Growth, and WACC vs. Exit Multiple.</t>
  </si>
  <si>
    <t xml:space="preserve">Dashboard</t>
  </si>
  <si>
    <t xml:space="preserve">One-page summary of the active scenario's outputs.</t>
  </si>
  <si>
    <t xml:space="preserve">Charts</t>
  </si>
  <si>
    <t xml:space="preserve">Revenue and free cash flow trend charts.</t>
  </si>
  <si>
    <t xml:space="preserve">COLOR LEGEND (WALL STREET STANDARD)</t>
  </si>
  <si>
    <t xml:space="preserve">Blue text</t>
  </si>
  <si>
    <t xml:space="preserve">Hardcoded input / assumption — safe to edit.</t>
  </si>
  <si>
    <t xml:space="preserve">Black text</t>
  </si>
  <si>
    <t xml:space="preserve">Formula on the same sheet — do not overwrite.</t>
  </si>
  <si>
    <t xml:space="preserve">Green text</t>
  </si>
  <si>
    <t xml:space="preserve">Link pulling from a different tab — do not overwrite.</t>
  </si>
  <si>
    <t xml:space="preserve">Yellow fill</t>
  </si>
  <si>
    <t xml:space="preserve">Key assumption or scenario lever worth double-checking before you rely on the output.</t>
  </si>
  <si>
    <t xml:space="preserve">HOW THE SCENARIO TOGGLE WORKS</t>
  </si>
  <si>
    <t xml:space="preserve">Inputs!C3 is a data-validation dropdown (Bear / Base / Bull). Every year-by-year driver table on the Inputs tab (revenue growth, gross margin, opex %, tax rate, D&amp;A %, capex %, NWC %) has a Bear, Base, and Bull column plus an 'Active' column that resolves via an IF formula keyed off C3. The Forecast, WACC, and DCF tabs reference ONLY the Active column — so flipping the dropdown reruns the entire five-year model and the DCF output instantly, with no manual re-entry. This mirrors how scenario toggles are actually built in professional models (versus building three separate, hard-to-maintain copies of the same tab).</t>
  </si>
  <si>
    <t xml:space="preserve">KNOWN MODEL LIMITATIONS (READ BEFORE PRESENTING)</t>
  </si>
  <si>
    <t xml:space="preserve">•</t>
  </si>
  <si>
    <t xml:space="preserve">RESOLVED (previously flagged): FY2023 and FY2025 operating income / net income on the Historical tab are now exact figures sourced directly from NVIDIA's GAAP earnings releases, not approximations.</t>
  </si>
  <si>
    <t xml:space="preserve">The Sensitivity tab's two-way tables flex WACC, terminal growth, and exit multiple around whichever scenario is currently Active on the Inputs tab — they do not hold a fixed 'Base' case regardless of the toggle.</t>
  </si>
  <si>
    <t xml:space="preserve">RESOLVED (previously flagged): CapEx % of revenue and NWC % of incremental revenue now taper year-by-year within each scenario (5 distinct values per scenario, not a flat rate), consistent with the ramp/maturation logic discussed in the written Part 3 and Part 6 analysis.</t>
  </si>
  <si>
    <t xml:space="preserve">Discounting uses year-end convention, not mid-year convention — a common refinement in more advanced models.</t>
  </si>
  <si>
    <t xml:space="preserve">NVIDIA DCF MODEL — ASSUMPTIONS &amp; SCENARIO INPUTS</t>
  </si>
  <si>
    <t xml:space="preserve">ACTIVE SCENARIO (change here):</t>
  </si>
  <si>
    <t xml:space="preserve">Base</t>
  </si>
  <si>
    <t xml:space="preserve">Every driver table below feeds Forecast/WACC/DCF only through its 'Active' column, which is keyed off this cell.</t>
  </si>
  <si>
    <t xml:space="preserve">Market &amp; Capital Structure Inputs (not scenario-dependent)</t>
  </si>
  <si>
    <t xml:space="preserve">Current share price ($)</t>
  </si>
  <si>
    <t xml:space="preserve">Approx. trading price, early Aug 2026. Source: stockanalysis.com / market data, 8/7/2026.</t>
  </si>
  <si>
    <t xml:space="preserve">Diluted shares outstanding (billions)</t>
  </si>
  <si>
    <t xml:space="preserve">Source: NVIDIA FY2026 10-K / stockanalysis.com statistics, Aug 2026.</t>
  </si>
  <si>
    <t xml:space="preserve">Cash &amp; short-term investments ($B)</t>
  </si>
  <si>
    <t xml:space="preserve">Source: NVIDIA Q1 FY2027 10-Q balance sheet (latest reported quarter).</t>
  </si>
  <si>
    <t xml:space="preserve">Total debt ($B)</t>
  </si>
  <si>
    <t xml:space="preserve">Est. incl. new $25B bond issuance, June 2026 (prior balance ~$12.8B). Confirm vs. next 10-Q.</t>
  </si>
  <si>
    <t xml:space="preserve">Net cash ($B)</t>
  </si>
  <si>
    <t xml:space="preserve">FY2026A Revenue ($B) — forecast anchor</t>
  </si>
  <si>
    <t xml:space="preserve">Source: NVIDIA Q4/FY2026 earnings release, 2/2026.</t>
  </si>
  <si>
    <t xml:space="preserve">WACC Build (Base Case Derivation — see WACC tab for full walkthrough)</t>
  </si>
  <si>
    <t xml:space="preserve">Risk-free rate (10-yr UST)</t>
  </si>
  <si>
    <t xml:space="preserve">Source: 10-yr Treasury yield, ~8/6/2026.</t>
  </si>
  <si>
    <t xml:space="preserve">Equity risk premium (implied, US)</t>
  </si>
  <si>
    <t xml:space="preserve">Source: Damodaran implied ERP update, July 2026 (4.45%, rounded).</t>
  </si>
  <si>
    <t xml:space="preserve">Beta (5Y, vs. S&amp;P 500)</t>
  </si>
  <si>
    <t xml:space="preserve">Source: avg. of Google Finance / stockanalysis.com reported beta, ~2.2-2.3 range.</t>
  </si>
  <si>
    <t xml:space="preserve">Cost of equity (CAPM)</t>
  </si>
  <si>
    <t xml:space="preserve">Pre-tax cost of debt</t>
  </si>
  <si>
    <t xml:space="preserve">Source: NVDA 30Y bond priced at UST+65bps, June 2026 issuance (Aa1/AA- rated).</t>
  </si>
  <si>
    <t xml:space="preserve">Marginal tax rate (for WACC)</t>
  </si>
  <si>
    <t xml:space="preserve">U.S. federal statutory rate — used for the debt tax shield, not the effective P&amp;L tax rate.</t>
  </si>
  <si>
    <t xml:space="preserve">After-tax cost of debt</t>
  </si>
  <si>
    <t xml:space="preserve">Market value of equity ($B)</t>
  </si>
  <si>
    <t xml:space="preserve">Market value of debt ($B)</t>
  </si>
  <si>
    <t xml:space="preserve">Weight of equity</t>
  </si>
  <si>
    <t xml:space="preserve">Weight of debt</t>
  </si>
  <si>
    <t xml:space="preserve">WACC (Base, derived)</t>
  </si>
  <si>
    <t xml:space="preserve">Scenario Toggle — Discount Rate &amp; Terminal Value Levers</t>
  </si>
  <si>
    <t xml:space="preserve">Bear</t>
  </si>
  <si>
    <t xml:space="preserve">Bull</t>
  </si>
  <si>
    <t xml:space="preserve">Active</t>
  </si>
  <si>
    <t xml:space="preserve">Terminal growth rate (g)</t>
  </si>
  <si>
    <t xml:space="preserve">Exit EV/EBITDA multiple (FY31)</t>
  </si>
  <si>
    <t xml:space="preserve">Revenue Growth % by Year</t>
  </si>
  <si>
    <t xml:space="preserve">FY2027E</t>
  </si>
  <si>
    <t xml:space="preserve">FY2028E</t>
  </si>
  <si>
    <t xml:space="preserve">FY2029E</t>
  </si>
  <si>
    <t xml:space="preserve">FY2030E</t>
  </si>
  <si>
    <t xml:space="preserve">FY2031E</t>
  </si>
  <si>
    <t xml:space="preserve">Gross Margin % by Year</t>
  </si>
  <si>
    <t xml:space="preserve">Operating Expense % of Revenue by Year</t>
  </si>
  <si>
    <t xml:space="preserve">Effective Tax Rate % by Year</t>
  </si>
  <si>
    <t xml:space="preserve">D&amp;A % of Revenue by Year</t>
  </si>
  <si>
    <t xml:space="preserve">CapEx % of Revenue by Year</t>
  </si>
  <si>
    <t xml:space="preserve">NWC Increase % of Incremental Revenue by Year</t>
  </si>
  <si>
    <t xml:space="preserve">NVIDIA — FIVE-YEAR HISTORICAL INCOME STATEMENT (FY2022–FY2026)</t>
  </si>
  <si>
    <t xml:space="preserve">$ in billions except per-share data. Fiscal year ends late January.</t>
  </si>
  <si>
    <t xml:space="preserve">FY2022A</t>
  </si>
  <si>
    <t xml:space="preserve">FY2023A</t>
  </si>
  <si>
    <t xml:space="preserve">FY2024A</t>
  </si>
  <si>
    <t xml:space="preserve">FY2025A</t>
  </si>
  <si>
    <t xml:space="preserve">FY2026A</t>
  </si>
  <si>
    <t xml:space="preserve">Revenue ($B)</t>
  </si>
  <si>
    <t xml:space="preserve">Source: NVIDIA 10-K filings / quarterly earnings releases, FY2022-FY2026.</t>
  </si>
  <si>
    <t xml:space="preserve">Revenue growth % YoY</t>
  </si>
  <si>
    <t xml:space="preserve">n/a</t>
  </si>
  <si>
    <t xml:space="preserve">Gross margin %</t>
  </si>
  <si>
    <t xml:space="preserve">FY22/24/26 per NVIDIA press releases. FY23/25 approximated (marked with * below) — replace with exact 10-K figures for final use.</t>
  </si>
  <si>
    <t xml:space="preserve">Gross profit ($B)</t>
  </si>
  <si>
    <t xml:space="preserve">Operating income ($B)</t>
  </si>
  <si>
    <t xml:space="preserve">Source: NVIDIA Q4 FY2024 earnings release (FY23 operating income, from GAAP reconciliation table) and NVIDIA Q4 FY2026 earnings release (FY25 operating income). All five years now sourced directly, no approximations.</t>
  </si>
  <si>
    <t xml:space="preserve">Operating margin %</t>
  </si>
  <si>
    <t xml:space="preserve">Net income ($B)</t>
  </si>
  <si>
    <t xml:space="preserve">Source: NVIDIA quarterly/annual earnings releases, FY2022-FY2026 (10-K equivalent GAAP figures). All five years now sourced directly, no approximations.</t>
  </si>
  <si>
    <t xml:space="preserve">Net margin %</t>
  </si>
  <si>
    <t xml:space="preserve">Diluted EPS — as reported ($)</t>
  </si>
  <si>
    <t xml:space="preserve">GAAP diluted EPS as originally reported each fiscal year (pre-split for FY22-24).</t>
  </si>
  <si>
    <t xml:space="preserve">Diluted EPS — split-adjusted ($)</t>
  </si>
  <si>
    <t xml:space="preserve">10-for-1 stock split effective June 7, 2024 — FY22-FY24 divided by 10 for comparability. FY25/FY26 already post-split.</t>
  </si>
  <si>
    <t xml:space="preserve">All five years of Revenue, Operating Income, and Net Income are now sourced directly from NVIDIA's GAAP earnings releases (see source notes above) — no derived approximations remain.</t>
  </si>
  <si>
    <t xml:space="preserve">NVIDIA — FIVE-YEAR FORECAST (FY2027E–FY2031E)</t>
  </si>
  <si>
    <t xml:space="preserve">$ in billions. All drivers pulled from Inputs!Active column — flips automatically with the scenario toggle.</t>
  </si>
  <si>
    <t xml:space="preserve">Revenue</t>
  </si>
  <si>
    <t xml:space="preserve">COGS</t>
  </si>
  <si>
    <t xml:space="preserve">Gross profit</t>
  </si>
  <si>
    <t xml:space="preserve">Opex % of revenue</t>
  </si>
  <si>
    <t xml:space="preserve">Operating expenses (R&amp;D + SG&amp;A)</t>
  </si>
  <si>
    <t xml:space="preserve">EBIT</t>
  </si>
  <si>
    <t xml:space="preserve">EBIT margin %</t>
  </si>
  <si>
    <t xml:space="preserve">EBITDA (EBIT + D&amp;A)</t>
  </si>
  <si>
    <t xml:space="preserve">Effective tax rate %</t>
  </si>
  <si>
    <t xml:space="preserve">Cash taxes</t>
  </si>
  <si>
    <t xml:space="preserve">D&amp;A % of revenue</t>
  </si>
  <si>
    <t xml:space="preserve">D&amp;A</t>
  </si>
  <si>
    <t xml:space="preserve">NOPAT (unlevered net income)</t>
  </si>
  <si>
    <t xml:space="preserve">CapEx % of revenue</t>
  </si>
  <si>
    <t xml:space="preserve">CapEx</t>
  </si>
  <si>
    <t xml:space="preserve">NWC increase % of incremental revenue</t>
  </si>
  <si>
    <t xml:space="preserve">Incremental revenue (YoY $)</t>
  </si>
  <si>
    <t xml:space="preserve">Increase in net working capital</t>
  </si>
  <si>
    <t xml:space="preserve">Unlevered Free Cash Flow</t>
  </si>
  <si>
    <t xml:space="preserve">Formula: NOPAT + D&amp;A - CapEx - Increase in NWC. This is the row the DCF tab discounts.</t>
  </si>
  <si>
    <t xml:space="preserve">FCF margin % (UFCF / Revenue)</t>
  </si>
  <si>
    <t xml:space="preserve">NVIDIA — WACC DERIVATION (BASE CASE)</t>
  </si>
  <si>
    <t xml:space="preserve">Cost of Equity — CAPM</t>
  </si>
  <si>
    <t xml:space="preserve">Risk-free rate (Rf)</t>
  </si>
  <si>
    <t xml:space="preserve">10-yr UST yield, ~8/6/2026.</t>
  </si>
  <si>
    <t xml:space="preserve">Equity risk premium (ERP)</t>
  </si>
  <si>
    <t xml:space="preserve">Damodaran implied ERP, July 2026.</t>
  </si>
  <si>
    <t xml:space="preserve">Beta</t>
  </si>
  <si>
    <t xml:space="preserve">5Y beta vs. S&amp;P 500.</t>
  </si>
  <si>
    <t xml:space="preserve">Cost of Equity = Rf + Beta x ERP</t>
  </si>
  <si>
    <t xml:space="preserve">Cost of Debt</t>
  </si>
  <si>
    <t xml:space="preserve">NVDA 30Y bond priced at UST+65bps, June 2026 ($25B issuance, Aa1/AA- rated).</t>
  </si>
  <si>
    <t xml:space="preserve">Marginal tax rate</t>
  </si>
  <si>
    <t xml:space="preserve">After-tax cost of debt = Kd x (1 - T)</t>
  </si>
  <si>
    <t xml:space="preserve">Capital Structure (Market Value Weights)</t>
  </si>
  <si>
    <t xml:space="preserve">WACC = (We x Ke) + (Wd x Kd(1-T))</t>
  </si>
  <si>
    <t xml:space="preserve">This is the value that flows into Inputs!D29 (Base column of the scenario toggle).</t>
  </si>
  <si>
    <t xml:space="preserve">NVIDIA — DCF: DISCOUNTED CASH FLOW &amp; INTRINSIC VALUE</t>
  </si>
  <si>
    <t xml:space="preserve">$ in billions except per-share data. All figures reflect the Active scenario selected on the Inputs tab.</t>
  </si>
  <si>
    <t xml:space="preserve">Forecast year #</t>
  </si>
  <si>
    <t xml:space="preserve">Discount factor @ Active WACC</t>
  </si>
  <si>
    <t xml:space="preserve">PV of Free Cash Flow</t>
  </si>
  <si>
    <t xml:space="preserve">Sum of PV of FCF (Years 1-5)</t>
  </si>
  <si>
    <t xml:space="preserve">Terminal Value — Method 1: Perpetuity Growth</t>
  </si>
  <si>
    <t xml:space="preserve">Terminal Value = FCFyr5 x (1+g) / (WACC-g)</t>
  </si>
  <si>
    <t xml:space="preserve">PV of Terminal Value</t>
  </si>
  <si>
    <t xml:space="preserve">Enterprise Value (Perpetuity)</t>
  </si>
  <si>
    <t xml:space="preserve">(+) Net cash</t>
  </si>
  <si>
    <t xml:space="preserve">Equity Value (Perpetuity)</t>
  </si>
  <si>
    <t xml:space="preserve">Diluted shares outstanding (B)</t>
  </si>
  <si>
    <t xml:space="preserve">Intrinsic Value per Share — Perpetuity Method</t>
  </si>
  <si>
    <t xml:space="preserve">Terminal Value — Method 2: Exit Multiple</t>
  </si>
  <si>
    <t xml:space="preserve">Exit EV/EBITDA multiple</t>
  </si>
  <si>
    <t xml:space="preserve">FY2031E EBITDA</t>
  </si>
  <si>
    <t xml:space="preserve">Terminal Value = EBITDAyr5 x Multiple</t>
  </si>
  <si>
    <t xml:space="preserve">Enterprise Value (Exit Multiple)</t>
  </si>
  <si>
    <t xml:space="preserve">Equity Value (Exit Multiple)</t>
  </si>
  <si>
    <t xml:space="preserve">Intrinsic Value per Share — Exit Multiple Method</t>
  </si>
  <si>
    <t xml:space="preserve">Bridge to Current Price</t>
  </si>
  <si>
    <t xml:space="preserve">Current share price</t>
  </si>
  <si>
    <t xml:space="preserve">Implied upside / (downside) — Perpetuity</t>
  </si>
  <si>
    <t xml:space="preserve">Implied upside / (downside) — Exit Multiple</t>
  </si>
  <si>
    <t xml:space="preserve">NVIDIA — SENSITIVITY ANALYSIS</t>
  </si>
  <si>
    <t xml:space="preserve">Tables flex WACC / terminal growth / exit multiple around the Forecast tab's currently Active scenario FCF &amp; EBITDA path.</t>
  </si>
  <si>
    <t xml:space="preserve">Discount Factor Helper (per WACC scenario row)</t>
  </si>
  <si>
    <t xml:space="preserve">WACC \ Year</t>
  </si>
  <si>
    <t xml:space="preserve">Sum PV of FCF</t>
  </si>
  <si>
    <t xml:space="preserve">Table 1: WACC vs. Terminal Growth Rate — Implied Share Price (Perpetuity Method)</t>
  </si>
  <si>
    <t xml:space="preserve">WACC \ g</t>
  </si>
  <si>
    <t xml:space="preserve">Table 2: WACC vs. Exit EV/EBITDA Multiple — Implied Share Price (Exit Multiple Method)</t>
  </si>
  <si>
    <t xml:space="preserve">WACC \ Multiple</t>
  </si>
  <si>
    <t xml:space="preserve">Yellow highlight = approx. current base-case combination (WACC 14.4%, g 3.5% / multiple 18.0x).</t>
  </si>
  <si>
    <t xml:space="preserve">NVIDIA (NVDA) — VALUATION DASHBOARD</t>
  </si>
  <si>
    <t xml:space="preserve">Change the dropdown on the Inputs tab (cell C3) to flip Bear / Base / Bull — this entire dashboard updates.</t>
  </si>
  <si>
    <t xml:space="preserve">Key Outputs</t>
  </si>
  <si>
    <t xml:space="preserve">WACC (active)</t>
  </si>
  <si>
    <t xml:space="preserve">Terminal growth rate (active)</t>
  </si>
  <si>
    <t xml:space="preserve">Exit EV/EBITDA multiple (active)</t>
  </si>
  <si>
    <t xml:space="preserve">Intrinsic value — Perpetuity method</t>
  </si>
  <si>
    <t xml:space="preserve">Upside/(downside) — Perpetuity</t>
  </si>
  <si>
    <t xml:space="preserve">Intrinsic value — Exit Multiple method</t>
  </si>
  <si>
    <t xml:space="preserve">Upside/(downside) — Exit Multiple</t>
  </si>
  <si>
    <t xml:space="preserve">FY2027E Revenue</t>
  </si>
  <si>
    <t xml:space="preserve">FY2031E Revenue</t>
  </si>
  <si>
    <t xml:space="preserve">FY2031E Unlevered FCF</t>
  </si>
  <si>
    <t xml:space="preserve">5-yr Revenue CAGR (FY26A-FY31E)</t>
  </si>
  <si>
    <t xml:space="preserve">Interpretation Notes</t>
  </si>
  <si>
    <t xml:space="preserve">The two terminal value methods typically diverge meaningfully (see Sensitivity tab) because the Perpetuity Growth method forces a single permanent growth rate, while the Exit Multiple method lets the market's own forward view of durability and moat strength flow through the multiple. Treat the gap between the two as the valuation range, not an error to reconcile away.</t>
  </si>
  <si>
    <t xml:space="preserve">NVIDIA — CHARTS</t>
  </si>
  <si>
    <t xml:space="preserve">Fiscal Year</t>
  </si>
  <si>
    <t xml:space="preserve">FY22A</t>
  </si>
  <si>
    <t xml:space="preserve">FY23A</t>
  </si>
  <si>
    <t xml:space="preserve">FY24A</t>
  </si>
  <si>
    <t xml:space="preserve">FY25A</t>
  </si>
  <si>
    <t xml:space="preserve">FY26A</t>
  </si>
  <si>
    <t xml:space="preserve">FY27E</t>
  </si>
  <si>
    <t xml:space="preserve">FY28E</t>
  </si>
  <si>
    <t xml:space="preserve">FY29E</t>
  </si>
  <si>
    <t xml:space="preserve">FY30E</t>
  </si>
  <si>
    <t xml:space="preserve">FY31E</t>
  </si>
  <si>
    <t xml:space="preserve">Unlevered FCF ($B)</t>
  </si>
</sst>
</file>

<file path=xl/styles.xml><?xml version="1.0" encoding="utf-8"?>
<styleSheet xmlns="http://schemas.openxmlformats.org/spreadsheetml/2006/main">
  <numFmts count="10">
    <numFmt numFmtId="164" formatCode="General"/>
    <numFmt numFmtId="165" formatCode="0.0%;\(0.0%\);\-"/>
    <numFmt numFmtId="166" formatCode="\$#,##0.00"/>
    <numFmt numFmtId="167" formatCode="#,##0.0"/>
    <numFmt numFmtId="168" formatCode="\$#,##0.0;&quot;($&quot;#,##0.0\);\-"/>
    <numFmt numFmtId="169" formatCode="0.00"/>
    <numFmt numFmtId="170" formatCode="\$#,##0;&quot;($&quot;#,##0\);\-"/>
    <numFmt numFmtId="171" formatCode="0.0\x"/>
    <numFmt numFmtId="172" formatCode="0.00%;\(0.00%\);\-"/>
    <numFmt numFmtId="173" formatCode="0.00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i val="true"/>
      <sz val="8"/>
      <color rgb="FF808080"/>
      <name val="Arial"/>
      <family val="0"/>
      <charset val="1"/>
    </font>
    <font>
      <b val="true"/>
      <sz val="11"/>
      <color rgb="FFFFFFFF"/>
      <name val="Arial"/>
      <family val="0"/>
      <charset val="1"/>
    </font>
    <font>
      <b val="true"/>
      <sz val="10"/>
      <color rgb="FFFFFFFF"/>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A1A1A"/>
        <bgColor rgb="FF333333"/>
      </patternFill>
    </fill>
    <fill>
      <patternFill patternType="solid">
        <fgColor rgb="FFFFFF00"/>
        <bgColor rgb="FFFFFF00"/>
      </patternFill>
    </fill>
    <fill>
      <patternFill patternType="solid">
        <fgColor rgb="FFF2F2F2"/>
        <bgColor rgb="FFFFFFFF"/>
      </patternFill>
    </fill>
    <fill>
      <patternFill patternType="solid">
        <fgColor rgb="FF76B900"/>
        <bgColor rgb="FF8AA64F"/>
      </patternFill>
    </fill>
    <fill>
      <patternFill patternType="solid">
        <fgColor rgb="FF333333"/>
        <bgColor rgb="FF1A1A1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center"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1" fontId="6"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8" fontId="6" fillId="4" borderId="2"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72" fontId="6" fillId="4" borderId="2" xfId="0" applyFont="true" applyBorder="true" applyAlignment="true" applyProtection="false">
      <alignment horizontal="general" vertical="bottom" textRotation="0" wrapText="false" indent="0" shrinkToFit="false"/>
      <protection locked="true" hidden="false"/>
    </xf>
    <xf numFmtId="173" fontId="9" fillId="0" borderId="1" xfId="0" applyFont="true" applyBorder="tru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6" fontId="6" fillId="3" borderId="2"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5" fontId="12" fillId="6" borderId="0" xfId="0" applyFont="true" applyBorder="fals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71" fontId="12" fillId="6" borderId="0" xfId="0" applyFont="true" applyBorder="fals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008080"/>
      <rgbColor rgb="FFBFBFBF"/>
      <rgbColor rgb="FF808080"/>
      <rgbColor rgb="FF93A9CE"/>
      <rgbColor rgb="FFAB4744"/>
      <rgbColor rgb="FFF2F2F2"/>
      <rgbColor rgb="FFCCFFFF"/>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8CD97"/>
      <rgbColor rgb="FFD09493"/>
      <rgbColor rgb="FFA99BBD"/>
      <rgbColor rgb="FF9BBB59"/>
      <rgbColor rgb="FF8064A2"/>
      <rgbColor rgb="FF4BACC6"/>
      <rgbColor rgb="FF76B900"/>
      <rgbColor rgb="FFFFCC00"/>
      <rgbColor rgb="FFFF9900"/>
      <rgbColor rgb="FFFF6600"/>
      <rgbColor rgb="FF725990"/>
      <rgbColor rgb="FF878787"/>
      <rgbColor rgb="FF003366"/>
      <rgbColor rgb="FF4299B0"/>
      <rgbColor rgb="FF003300"/>
      <rgbColor rgb="FF1A1A1A"/>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NVIDIA Revenue: FY2022A–FY2031E ($B)</a:t>
            </a:r>
          </a:p>
        </c:rich>
      </c:tx>
      <c:overlay val="0"/>
      <c:spPr>
        <a:noFill/>
        <a:ln w="0">
          <a:noFill/>
        </a:ln>
      </c:spPr>
    </c:title>
    <c:autoTitleDeleted val="0"/>
    <c:plotArea>
      <c:barChart>
        <c:barDir val="col"/>
        <c:grouping val="clustered"/>
        <c:varyColors val="0"/>
        <c:ser>
          <c:idx val="0"/>
          <c:order val="0"/>
          <c:spPr>
            <a:solidFill>
              <a:srgbClr val="76b90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Charts!$C$4</c:f>
              <c:numCache>
                <c:formatCode>\$#,##0;"($"#,##0\);\-</c:formatCode>
                <c:ptCount val="1"/>
                <c:pt idx="0">
                  <c:v>26.91</c:v>
                </c:pt>
              </c:numCache>
            </c:numRef>
          </c:val>
        </c:ser>
        <c:ser>
          <c:idx val="1"/>
          <c:order val="1"/>
          <c:spPr>
            <a:solidFill>
              <a:srgbClr val="ab474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Charts!$D$4</c:f>
              <c:numCache>
                <c:formatCode>\$#,##0;"($"#,##0\);\-</c:formatCode>
                <c:ptCount val="1"/>
                <c:pt idx="0">
                  <c:v>26.97</c:v>
                </c:pt>
              </c:numCache>
            </c:numRef>
          </c:val>
        </c:ser>
        <c:ser>
          <c:idx val="2"/>
          <c:order val="2"/>
          <c:spPr>
            <a:solidFill>
              <a:srgbClr val="8aa64f"/>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Charts!$E$4</c:f>
              <c:numCache>
                <c:formatCode>\$#,##0;"($"#,##0\);\-</c:formatCode>
                <c:ptCount val="1"/>
                <c:pt idx="0">
                  <c:v>60.92</c:v>
                </c:pt>
              </c:numCache>
            </c:numRef>
          </c:val>
        </c:ser>
        <c:ser>
          <c:idx val="3"/>
          <c:order val="3"/>
          <c:spPr>
            <a:solidFill>
              <a:srgbClr val="72599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Charts!$F$4</c:f>
              <c:numCache>
                <c:formatCode>\$#,##0;"($"#,##0\);\-</c:formatCode>
                <c:ptCount val="1"/>
                <c:pt idx="0">
                  <c:v>130.5</c:v>
                </c:pt>
              </c:numCache>
            </c:numRef>
          </c:val>
        </c:ser>
        <c:ser>
          <c:idx val="4"/>
          <c:order val="4"/>
          <c:spPr>
            <a:solidFill>
              <a:srgbClr val="4299b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Charts!$G$4</c:f>
              <c:numCache>
                <c:formatCode>\$#,##0;"($"#,##0\);\-</c:formatCode>
                <c:ptCount val="1"/>
                <c:pt idx="0">
                  <c:v>215.9</c:v>
                </c:pt>
              </c:numCache>
            </c:numRef>
          </c:val>
        </c:ser>
        <c:ser>
          <c:idx val="5"/>
          <c:order val="5"/>
          <c:spPr>
            <a:solidFill>
              <a:srgbClr val="dc853e"/>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Charts!$H$4</c:f>
              <c:numCache>
                <c:formatCode>\$#,##0;"($"#,##0\);\-</c:formatCode>
                <c:ptCount val="1"/>
                <c:pt idx="0">
                  <c:v>392.938</c:v>
                </c:pt>
              </c:numCache>
            </c:numRef>
          </c:val>
        </c:ser>
        <c:ser>
          <c:idx val="6"/>
          <c:order val="6"/>
          <c:spPr>
            <a:solidFill>
              <a:srgbClr val="93a9ce"/>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Charts!$I$4</c:f>
              <c:numCache>
                <c:formatCode>\$#,##0;"($"#,##0\);\-</c:formatCode>
                <c:ptCount val="1"/>
                <c:pt idx="0">
                  <c:v>463.66684</c:v>
                </c:pt>
              </c:numCache>
            </c:numRef>
          </c:val>
        </c:ser>
        <c:ser>
          <c:idx val="7"/>
          <c:order val="7"/>
          <c:spPr>
            <a:solidFill>
              <a:srgbClr val="d09493"/>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Charts!$J$4</c:f>
              <c:numCache>
                <c:formatCode>\$#,##0;"($"#,##0\);\-</c:formatCode>
                <c:ptCount val="1"/>
                <c:pt idx="0">
                  <c:v>537.8535344</c:v>
                </c:pt>
              </c:numCache>
            </c:numRef>
          </c:val>
        </c:ser>
        <c:ser>
          <c:idx val="8"/>
          <c:order val="8"/>
          <c:spPr>
            <a:solidFill>
              <a:srgbClr val="b8cd97"/>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Charts!$K$4</c:f>
              <c:numCache>
                <c:formatCode>\$#,##0;"($"#,##0\);\-</c:formatCode>
                <c:ptCount val="1"/>
                <c:pt idx="0">
                  <c:v>613.153029216</c:v>
                </c:pt>
              </c:numCache>
            </c:numRef>
          </c:val>
        </c:ser>
        <c:ser>
          <c:idx val="9"/>
          <c:order val="9"/>
          <c:spPr>
            <a:solidFill>
              <a:srgbClr val="a99b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Charts!$C$3:$L$3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Charts!$L$4</c:f>
              <c:numCache>
                <c:formatCode>\$#,##0;"($"#,##0\);\-</c:formatCode>
                <c:ptCount val="1"/>
                <c:pt idx="0">
                  <c:v>686.73139272192</c:v>
                </c:pt>
              </c:numCache>
            </c:numRef>
          </c:val>
        </c:ser>
        <c:gapWidth val="150"/>
        <c:overlap val="0"/>
        <c:axId val="93875016"/>
        <c:axId val="42020800"/>
      </c:barChart>
      <c:catAx>
        <c:axId val="938750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20800"/>
        <c:crosses val="autoZero"/>
        <c:auto val="1"/>
        <c:lblAlgn val="ctr"/>
        <c:lblOffset val="100"/>
        <c:noMultiLvlLbl val="0"/>
      </c:catAx>
      <c:valAx>
        <c:axId val="4202080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($B)</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8750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NVIDIA Unlevered Free Cash Flow: FY2027E–FY2031E ($B)</a:t>
            </a:r>
          </a:p>
        </c:rich>
      </c:tx>
      <c:overlay val="0"/>
      <c:spPr>
        <a:noFill/>
        <a:ln w="0">
          <a:noFill/>
        </a:ln>
      </c:spPr>
    </c:title>
    <c:autoTitleDeleted val="0"/>
    <c:plotArea>
      <c:barChart>
        <c:barDir val="col"/>
        <c:grouping val="clustered"/>
        <c:varyColors val="0"/>
        <c:ser>
          <c:idx val="0"/>
          <c:order val="0"/>
          <c:spPr>
            <a:solidFill>
              <a:srgbClr val="333333"/>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Charts!$H$3:$L$3</c:f>
              <c:strCache>
                <c:ptCount val="5"/>
                <c:pt idx="0">
                  <c:v>FY27E</c:v>
                </c:pt>
                <c:pt idx="1">
                  <c:v>FY28E</c:v>
                </c:pt>
                <c:pt idx="2">
                  <c:v>FY29E</c:v>
                </c:pt>
                <c:pt idx="3">
                  <c:v>FY30E</c:v>
                </c:pt>
                <c:pt idx="4">
                  <c:v>FY31E</c:v>
                </c:pt>
              </c:strCache>
            </c:strRef>
          </c:cat>
          <c:val>
            <c:numRef>
              <c:f>Charts!$H$5</c:f>
              <c:numCache>
                <c:formatCode>\$#,##0;"($"#,##0\);\-</c:formatCode>
                <c:ptCount val="1"/>
                <c:pt idx="0">
                  <c:v>193.5636337</c:v>
                </c:pt>
              </c:numCache>
            </c:numRef>
          </c:val>
        </c:ser>
        <c:ser>
          <c:idx val="1"/>
          <c:order val="1"/>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Charts!$H$3:$L$3</c:f>
              <c:strCache>
                <c:ptCount val="5"/>
                <c:pt idx="0">
                  <c:v>FY27E</c:v>
                </c:pt>
                <c:pt idx="1">
                  <c:v>FY28E</c:v>
                </c:pt>
                <c:pt idx="2">
                  <c:v>FY29E</c:v>
                </c:pt>
                <c:pt idx="3">
                  <c:v>FY30E</c:v>
                </c:pt>
                <c:pt idx="4">
                  <c:v>FY31E</c:v>
                </c:pt>
              </c:strCache>
            </c:strRef>
          </c:cat>
          <c:val>
            <c:numRef>
              <c:f>Charts!$I$5</c:f>
              <c:numCache>
                <c:formatCode>\$#,##0;"($"#,##0\);\-</c:formatCode>
                <c:ptCount val="1"/>
                <c:pt idx="0">
                  <c:v>233.1301154</c:v>
                </c:pt>
              </c:numCache>
            </c:numRef>
          </c:val>
        </c:ser>
        <c:ser>
          <c:idx val="2"/>
          <c:order val="2"/>
          <c:spPr>
            <a:solidFill>
              <a:srgbClr val="9bbb59"/>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Charts!$H$3:$L$3</c:f>
              <c:strCache>
                <c:ptCount val="5"/>
                <c:pt idx="0">
                  <c:v>FY27E</c:v>
                </c:pt>
                <c:pt idx="1">
                  <c:v>FY28E</c:v>
                </c:pt>
                <c:pt idx="2">
                  <c:v>FY29E</c:v>
                </c:pt>
                <c:pt idx="3">
                  <c:v>FY30E</c:v>
                </c:pt>
                <c:pt idx="4">
                  <c:v>FY31E</c:v>
                </c:pt>
              </c:strCache>
            </c:strRef>
          </c:cat>
          <c:val>
            <c:numRef>
              <c:f>Charts!$J$5</c:f>
              <c:numCache>
                <c:formatCode>\$#,##0;"($"#,##0\);\-</c:formatCode>
                <c:ptCount val="1"/>
                <c:pt idx="0">
                  <c:v>265.79330669528</c:v>
                </c:pt>
              </c:numCache>
            </c:numRef>
          </c:val>
        </c:ser>
        <c:ser>
          <c:idx val="3"/>
          <c:order val="3"/>
          <c:spPr>
            <a:solidFill>
              <a:srgbClr val="8064a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Charts!$H$3:$L$3</c:f>
              <c:strCache>
                <c:ptCount val="5"/>
                <c:pt idx="0">
                  <c:v>FY27E</c:v>
                </c:pt>
                <c:pt idx="1">
                  <c:v>FY28E</c:v>
                </c:pt>
                <c:pt idx="2">
                  <c:v>FY29E</c:v>
                </c:pt>
                <c:pt idx="3">
                  <c:v>FY30E</c:v>
                </c:pt>
                <c:pt idx="4">
                  <c:v>FY31E</c:v>
                </c:pt>
              </c:strCache>
            </c:strRef>
          </c:cat>
          <c:val>
            <c:numRef>
              <c:f>Charts!$K$5</c:f>
              <c:numCache>
                <c:formatCode>\$#,##0;"($"#,##0\);\-</c:formatCode>
                <c:ptCount val="1"/>
                <c:pt idx="0">
                  <c:v>296.066856545824</c:v>
                </c:pt>
              </c:numCache>
            </c:numRef>
          </c:val>
        </c:ser>
        <c:ser>
          <c:idx val="4"/>
          <c:order val="4"/>
          <c:spPr>
            <a:solidFill>
              <a:srgbClr val="4bacc6"/>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Charts!$H$3:$L$3</c:f>
              <c:strCache>
                <c:ptCount val="5"/>
                <c:pt idx="0">
                  <c:v>FY27E</c:v>
                </c:pt>
                <c:pt idx="1">
                  <c:v>FY28E</c:v>
                </c:pt>
                <c:pt idx="2">
                  <c:v>FY29E</c:v>
                </c:pt>
                <c:pt idx="3">
                  <c:v>FY30E</c:v>
                </c:pt>
                <c:pt idx="4">
                  <c:v>FY31E</c:v>
                </c:pt>
              </c:strCache>
            </c:strRef>
          </c:cat>
          <c:val>
            <c:numRef>
              <c:f>Charts!$L$5</c:f>
              <c:numCache>
                <c:formatCode>\$#,##0;"($"#,##0\);\-</c:formatCode>
                <c:ptCount val="1"/>
                <c:pt idx="0">
                  <c:v>324.387383800666</c:v>
                </c:pt>
              </c:numCache>
            </c:numRef>
          </c:val>
        </c:ser>
        <c:gapWidth val="150"/>
        <c:overlap val="0"/>
        <c:axId val="33890033"/>
        <c:axId val="44904878"/>
      </c:barChart>
      <c:catAx>
        <c:axId val="338900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904878"/>
        <c:crosses val="autoZero"/>
        <c:auto val="1"/>
        <c:lblAlgn val="ctr"/>
        <c:lblOffset val="100"/>
        <c:noMultiLvlLbl val="0"/>
      </c:catAx>
      <c:valAx>
        <c:axId val="449048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Unlevered FCF ($B)</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900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xdr:row>
      <xdr:rowOff>0</xdr:rowOff>
    </xdr:from>
    <xdr:to>
      <xdr:col>13</xdr:col>
      <xdr:colOff>579960</xdr:colOff>
      <xdr:row>23</xdr:row>
      <xdr:rowOff>190080</xdr:rowOff>
    </xdr:to>
    <xdr:graphicFrame>
      <xdr:nvGraphicFramePr>
        <xdr:cNvPr id="0" name="Chart 1"/>
        <xdr:cNvGraphicFramePr/>
      </xdr:nvGraphicFramePr>
      <xdr:xfrm>
        <a:off x="211320" y="1371600"/>
        <a:ext cx="791820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13</xdr:col>
      <xdr:colOff>579960</xdr:colOff>
      <xdr:row>41</xdr:row>
      <xdr:rowOff>190080</xdr:rowOff>
    </xdr:to>
    <xdr:graphicFrame>
      <xdr:nvGraphicFramePr>
        <xdr:cNvPr id="1" name="Chart 2"/>
        <xdr:cNvGraphicFramePr/>
      </xdr:nvGraphicFramePr>
      <xdr:xfrm>
        <a:off x="211320" y="4800600"/>
        <a:ext cx="7918200" cy="323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1A1A"/>
    <pageSetUpPr fitToPage="false"/>
  </sheetPr>
  <dimension ref="A1:H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7" min="3" style="1" width="18"/>
    <col collapsed="false" customWidth="true" hidden="false" outlineLevel="0" max="8" min="8" style="1" width="3"/>
  </cols>
  <sheetData>
    <row r="1" customFormat="false" ht="15" hidden="false" customHeight="true" outlineLevel="0" collapsed="false">
      <c r="A1" s="2"/>
      <c r="B1" s="2"/>
      <c r="C1" s="2"/>
      <c r="D1" s="2"/>
      <c r="E1" s="2"/>
      <c r="F1" s="2"/>
      <c r="G1" s="2"/>
      <c r="H1" s="2"/>
    </row>
    <row r="2" customFormat="false" ht="19.5" hidden="false" customHeight="true" outlineLevel="0" collapsed="false">
      <c r="A2" s="2"/>
      <c r="B2" s="3" t="s">
        <v>0</v>
      </c>
      <c r="C2" s="3"/>
      <c r="D2" s="3"/>
      <c r="E2" s="3"/>
      <c r="F2" s="3"/>
      <c r="G2" s="3"/>
      <c r="H2" s="2"/>
    </row>
    <row r="3" customFormat="false" ht="15" hidden="false" customHeight="true" outlineLevel="0" collapsed="false">
      <c r="A3" s="2"/>
      <c r="B3" s="4" t="s">
        <v>1</v>
      </c>
      <c r="C3" s="4"/>
      <c r="D3" s="4"/>
      <c r="E3" s="4"/>
      <c r="F3" s="4"/>
      <c r="G3" s="4"/>
      <c r="H3" s="2"/>
    </row>
    <row r="4" customFormat="false" ht="15" hidden="false" customHeight="true" outlineLevel="0" collapsed="false">
      <c r="A4" s="2"/>
      <c r="B4" s="2"/>
      <c r="C4" s="2"/>
      <c r="D4" s="2"/>
      <c r="E4" s="2"/>
      <c r="F4" s="2"/>
      <c r="G4" s="2"/>
      <c r="H4" s="2"/>
    </row>
    <row r="5" customFormat="false" ht="15" hidden="false" customHeight="true" outlineLevel="0" collapsed="false">
      <c r="A5" s="2"/>
      <c r="B5" s="2"/>
      <c r="C5" s="2"/>
      <c r="D5" s="2"/>
      <c r="E5" s="2"/>
      <c r="F5" s="2"/>
      <c r="G5" s="2"/>
      <c r="H5" s="2"/>
    </row>
    <row r="8" customFormat="false" ht="15" hidden="false" customHeight="true" outlineLevel="0" collapsed="false">
      <c r="B8" s="5" t="s">
        <v>2</v>
      </c>
      <c r="C8" s="6" t="s">
        <v>3</v>
      </c>
    </row>
    <row r="9" customFormat="false" ht="15" hidden="false" customHeight="true" outlineLevel="0" collapsed="false">
      <c r="B9" s="5" t="s">
        <v>4</v>
      </c>
      <c r="C9" s="7" t="s">
        <v>5</v>
      </c>
    </row>
    <row r="10" customFormat="false" ht="15" hidden="false" customHeight="true" outlineLevel="0" collapsed="false">
      <c r="B10" s="5" t="s">
        <v>6</v>
      </c>
      <c r="C10" s="6" t="s">
        <v>7</v>
      </c>
    </row>
    <row r="11" customFormat="false" ht="15" hidden="false" customHeight="true" outlineLevel="0" collapsed="false">
      <c r="B11" s="5" t="s">
        <v>8</v>
      </c>
      <c r="C11" s="6" t="s">
        <v>9</v>
      </c>
    </row>
    <row r="12" customFormat="false" ht="15" hidden="false" customHeight="true" outlineLevel="0" collapsed="false">
      <c r="B12" s="5" t="s">
        <v>10</v>
      </c>
      <c r="C12" s="6" t="s">
        <v>11</v>
      </c>
    </row>
    <row r="13" customFormat="false" ht="15" hidden="false" customHeight="true" outlineLevel="0" collapsed="false">
      <c r="B13" s="5" t="s">
        <v>12</v>
      </c>
      <c r="C13" s="6" t="s">
        <v>13</v>
      </c>
    </row>
    <row r="16" customFormat="false" ht="15" hidden="false" customHeight="true" outlineLevel="0" collapsed="false">
      <c r="B16" s="8" t="s">
        <v>14</v>
      </c>
      <c r="C16" s="8"/>
      <c r="D16" s="8"/>
    </row>
    <row r="17" customFormat="false" ht="15" hidden="false" customHeight="true" outlineLevel="0" collapsed="false">
      <c r="B17" s="5" t="s">
        <v>15</v>
      </c>
      <c r="C17" s="9" t="str">
        <f aca="false">Inputs!C3</f>
        <v>Base</v>
      </c>
    </row>
    <row r="18" customFormat="false" ht="15" hidden="false" customHeight="true" outlineLevel="0" collapsed="false">
      <c r="B18" s="5" t="s">
        <v>16</v>
      </c>
      <c r="C18" s="10" t="n">
        <f aca="false">Inputs!F29</f>
        <v>0.144250004766172</v>
      </c>
    </row>
    <row r="19" customFormat="false" ht="15" hidden="false" customHeight="true" outlineLevel="0" collapsed="false">
      <c r="B19" s="5" t="s">
        <v>17</v>
      </c>
      <c r="C19" s="11" t="n">
        <f aca="false">Inputs!C6</f>
        <v>215</v>
      </c>
    </row>
    <row r="20" customFormat="false" ht="15" hidden="false" customHeight="true" outlineLevel="0" collapsed="false">
      <c r="B20" s="5" t="s">
        <v>18</v>
      </c>
      <c r="C20" s="11" t="n">
        <f aca="false">DCF!C20</f>
        <v>100.932215753709</v>
      </c>
    </row>
    <row r="21" customFormat="false" ht="15" hidden="false" customHeight="true" outlineLevel="0" collapsed="false">
      <c r="B21" s="5" t="s">
        <v>19</v>
      </c>
      <c r="C21" s="11" t="n">
        <f aca="false">DCF!C31</f>
        <v>206.667686701317</v>
      </c>
    </row>
    <row r="24" customFormat="false" ht="15" hidden="false" customHeight="true" outlineLevel="0" collapsed="false">
      <c r="B24" s="8" t="s">
        <v>20</v>
      </c>
      <c r="C24" s="8"/>
      <c r="D24" s="8"/>
      <c r="E24" s="8"/>
      <c r="F24" s="8"/>
      <c r="G24" s="8"/>
    </row>
    <row r="25" customFormat="false" ht="90" hidden="false" customHeight="true" outlineLevel="0" collapsed="false">
      <c r="B25" s="12" t="s">
        <v>21</v>
      </c>
      <c r="C25" s="12"/>
      <c r="D25" s="12"/>
      <c r="E25" s="12"/>
      <c r="F25" s="12"/>
      <c r="G25" s="12"/>
    </row>
    <row r="26" customFormat="false" ht="15" hidden="false" customHeight="true" outlineLevel="0" collapsed="false">
      <c r="B26" s="12"/>
      <c r="C26" s="12"/>
      <c r="D26" s="12"/>
      <c r="E26" s="12"/>
      <c r="F26" s="12"/>
      <c r="G26" s="12"/>
    </row>
    <row r="27" customFormat="false" ht="15" hidden="false" customHeight="true" outlineLevel="0" collapsed="false">
      <c r="B27" s="12"/>
      <c r="C27" s="12"/>
      <c r="D27" s="12"/>
      <c r="E27" s="12"/>
      <c r="F27" s="12"/>
      <c r="G27" s="12"/>
    </row>
    <row r="28" customFormat="false" ht="15" hidden="false" customHeight="true" outlineLevel="0" collapsed="false">
      <c r="B28" s="12"/>
      <c r="C28" s="12"/>
      <c r="D28" s="12"/>
      <c r="E28" s="12"/>
      <c r="F28" s="12"/>
      <c r="G28" s="12"/>
    </row>
    <row r="29" customFormat="false" ht="15" hidden="false" customHeight="true" outlineLevel="0" collapsed="false">
      <c r="B29" s="12"/>
      <c r="C29" s="12"/>
      <c r="D29" s="12"/>
      <c r="E29" s="12"/>
      <c r="F29" s="12"/>
      <c r="G29" s="12"/>
    </row>
  </sheetData>
  <mergeCells count="5">
    <mergeCell ref="B2:G2"/>
    <mergeCell ref="B3:G3"/>
    <mergeCell ref="B16:D16"/>
    <mergeCell ref="B24:G24"/>
    <mergeCell ref="B25: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2:C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75"/>
  </cols>
  <sheetData>
    <row r="2" customFormat="false" ht="18" hidden="false" customHeight="true" outlineLevel="0" collapsed="false">
      <c r="B2" s="13" t="s">
        <v>22</v>
      </c>
      <c r="C2" s="13"/>
    </row>
    <row r="4" customFormat="false" ht="15" hidden="false" customHeight="true" outlineLevel="0" collapsed="false">
      <c r="B4" s="14" t="s">
        <v>23</v>
      </c>
      <c r="C4" s="14" t="s">
        <v>24</v>
      </c>
    </row>
    <row r="5" customFormat="false" ht="30" hidden="false" customHeight="true" outlineLevel="0" collapsed="false">
      <c r="B5" s="5" t="s">
        <v>25</v>
      </c>
      <c r="C5" s="15" t="s">
        <v>26</v>
      </c>
    </row>
    <row r="6" customFormat="false" ht="30" hidden="false" customHeight="true" outlineLevel="0" collapsed="false">
      <c r="B6" s="5" t="s">
        <v>27</v>
      </c>
      <c r="C6" s="15" t="s">
        <v>28</v>
      </c>
    </row>
    <row r="7" customFormat="false" ht="30" hidden="false" customHeight="true" outlineLevel="0" collapsed="false">
      <c r="B7" s="5" t="s">
        <v>29</v>
      </c>
      <c r="C7" s="15" t="s">
        <v>30</v>
      </c>
    </row>
    <row r="8" customFormat="false" ht="30" hidden="false" customHeight="true" outlineLevel="0" collapsed="false">
      <c r="B8" s="5" t="s">
        <v>31</v>
      </c>
      <c r="C8" s="15" t="s">
        <v>32</v>
      </c>
    </row>
    <row r="9" customFormat="false" ht="30" hidden="false" customHeight="true" outlineLevel="0" collapsed="false">
      <c r="B9" s="5" t="s">
        <v>33</v>
      </c>
      <c r="C9" s="15" t="s">
        <v>34</v>
      </c>
    </row>
    <row r="10" customFormat="false" ht="30" hidden="false" customHeight="true" outlineLevel="0" collapsed="false">
      <c r="B10" s="5" t="s">
        <v>35</v>
      </c>
      <c r="C10" s="15" t="s">
        <v>36</v>
      </c>
    </row>
    <row r="11" customFormat="false" ht="30" hidden="false" customHeight="true" outlineLevel="0" collapsed="false">
      <c r="B11" s="5" t="s">
        <v>37</v>
      </c>
      <c r="C11" s="15" t="s">
        <v>38</v>
      </c>
    </row>
    <row r="12" customFormat="false" ht="30" hidden="false" customHeight="true" outlineLevel="0" collapsed="false">
      <c r="B12" s="5" t="s">
        <v>39</v>
      </c>
      <c r="C12" s="15" t="s">
        <v>40</v>
      </c>
    </row>
    <row r="13" customFormat="false" ht="30" hidden="false" customHeight="true" outlineLevel="0" collapsed="false">
      <c r="B13" s="5" t="s">
        <v>41</v>
      </c>
      <c r="C13" s="15" t="s">
        <v>42</v>
      </c>
    </row>
    <row r="14" customFormat="false" ht="30" hidden="false" customHeight="true" outlineLevel="0" collapsed="false">
      <c r="B14" s="5" t="s">
        <v>43</v>
      </c>
      <c r="C14" s="15" t="s">
        <v>44</v>
      </c>
    </row>
    <row r="16" customFormat="false" ht="18" hidden="false" customHeight="true" outlineLevel="0" collapsed="false">
      <c r="B16" s="13" t="s">
        <v>45</v>
      </c>
      <c r="C16" s="13"/>
    </row>
    <row r="18" customFormat="false" ht="15" hidden="false" customHeight="true" outlineLevel="0" collapsed="false">
      <c r="B18" s="16" t="s">
        <v>46</v>
      </c>
      <c r="C18" s="6" t="s">
        <v>47</v>
      </c>
    </row>
    <row r="19" customFormat="false" ht="15" hidden="false" customHeight="true" outlineLevel="0" collapsed="false">
      <c r="B19" s="6" t="s">
        <v>48</v>
      </c>
      <c r="C19" s="6" t="s">
        <v>49</v>
      </c>
    </row>
    <row r="20" customFormat="false" ht="15" hidden="false" customHeight="true" outlineLevel="0" collapsed="false">
      <c r="B20" s="17" t="s">
        <v>50</v>
      </c>
      <c r="C20" s="6" t="s">
        <v>51</v>
      </c>
    </row>
    <row r="21" customFormat="false" ht="15" hidden="false" customHeight="true" outlineLevel="0" collapsed="false">
      <c r="B21" s="18" t="s">
        <v>52</v>
      </c>
      <c r="C21" s="6" t="s">
        <v>53</v>
      </c>
    </row>
    <row r="23" customFormat="false" ht="18" hidden="false" customHeight="true" outlineLevel="0" collapsed="false">
      <c r="B23" s="13" t="s">
        <v>54</v>
      </c>
      <c r="C23" s="13"/>
    </row>
    <row r="25" customFormat="false" ht="99.75" hidden="false" customHeight="true" outlineLevel="0" collapsed="false">
      <c r="B25" s="19" t="s">
        <v>55</v>
      </c>
      <c r="C25" s="19"/>
    </row>
    <row r="26" customFormat="false" ht="15" hidden="false" customHeight="true" outlineLevel="0" collapsed="false">
      <c r="B26" s="19"/>
      <c r="C26" s="19"/>
    </row>
    <row r="27" customFormat="false" ht="15" hidden="false" customHeight="true" outlineLevel="0" collapsed="false">
      <c r="B27" s="19"/>
      <c r="C27" s="19"/>
    </row>
    <row r="28" customFormat="false" ht="15" hidden="false" customHeight="true" outlineLevel="0" collapsed="false">
      <c r="B28" s="19"/>
      <c r="C28" s="19"/>
    </row>
    <row r="29" customFormat="false" ht="15" hidden="false" customHeight="true" outlineLevel="0" collapsed="false">
      <c r="B29" s="19"/>
      <c r="C29" s="19"/>
    </row>
    <row r="31" customFormat="false" ht="18" hidden="false" customHeight="true" outlineLevel="0" collapsed="false">
      <c r="B31" s="13" t="s">
        <v>56</v>
      </c>
      <c r="C31" s="13"/>
    </row>
    <row r="33" customFormat="false" ht="45" hidden="false" customHeight="true" outlineLevel="0" collapsed="false">
      <c r="B33" s="6" t="s">
        <v>57</v>
      </c>
      <c r="C33" s="15" t="s">
        <v>58</v>
      </c>
    </row>
    <row r="34" customFormat="false" ht="45" hidden="false" customHeight="true" outlineLevel="0" collapsed="false">
      <c r="B34" s="6" t="s">
        <v>57</v>
      </c>
      <c r="C34" s="15" t="s">
        <v>59</v>
      </c>
    </row>
    <row r="35" customFormat="false" ht="45" hidden="false" customHeight="true" outlineLevel="0" collapsed="false">
      <c r="B35" s="6" t="s">
        <v>57</v>
      </c>
      <c r="C35" s="15" t="s">
        <v>60</v>
      </c>
    </row>
    <row r="36" customFormat="false" ht="45" hidden="false" customHeight="true" outlineLevel="0" collapsed="false">
      <c r="B36" s="6" t="s">
        <v>57</v>
      </c>
      <c r="C36" s="15" t="s">
        <v>61</v>
      </c>
    </row>
  </sheetData>
  <mergeCells count="5">
    <mergeCell ref="B2:C2"/>
    <mergeCell ref="B16:C16"/>
    <mergeCell ref="B23:C23"/>
    <mergeCell ref="B25:C29"/>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H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6" min="3" style="1" width="13"/>
    <col collapsed="false" customWidth="true" hidden="false" outlineLevel="0" max="7" min="7" style="1" width="3"/>
    <col collapsed="false" customWidth="true" hidden="false" outlineLevel="0" max="8" min="8" style="1" width="60"/>
  </cols>
  <sheetData>
    <row r="1" customFormat="false" ht="18" hidden="false" customHeight="true" outlineLevel="0" collapsed="false">
      <c r="B1" s="13" t="s">
        <v>62</v>
      </c>
      <c r="C1" s="13"/>
      <c r="D1" s="13"/>
      <c r="E1" s="13"/>
      <c r="F1" s="13"/>
    </row>
    <row r="3" customFormat="false" ht="18.75" hidden="false" customHeight="true" outlineLevel="0" collapsed="false">
      <c r="B3" s="18" t="s">
        <v>63</v>
      </c>
      <c r="C3" s="20" t="s">
        <v>64</v>
      </c>
      <c r="H3" s="21" t="s">
        <v>65</v>
      </c>
    </row>
    <row r="5" customFormat="false" ht="18" hidden="false" customHeight="true" outlineLevel="0" collapsed="false">
      <c r="B5" s="13" t="s">
        <v>66</v>
      </c>
      <c r="C5" s="13"/>
      <c r="D5" s="13"/>
      <c r="E5" s="13"/>
      <c r="F5" s="13"/>
    </row>
    <row r="6" customFormat="false" ht="18.75" hidden="false" customHeight="true" outlineLevel="0" collapsed="false">
      <c r="B6" s="6" t="s">
        <v>67</v>
      </c>
      <c r="C6" s="22" t="n">
        <v>215</v>
      </c>
      <c r="H6" s="21" t="s">
        <v>68</v>
      </c>
    </row>
    <row r="7" customFormat="false" ht="15" hidden="false" customHeight="true" outlineLevel="0" collapsed="false">
      <c r="B7" s="6" t="s">
        <v>69</v>
      </c>
      <c r="C7" s="23" t="n">
        <v>24.22</v>
      </c>
      <c r="H7" s="21" t="s">
        <v>70</v>
      </c>
    </row>
    <row r="8" customFormat="false" ht="15" hidden="false" customHeight="true" outlineLevel="0" collapsed="false">
      <c r="B8" s="6" t="s">
        <v>71</v>
      </c>
      <c r="C8" s="24" t="n">
        <v>53.2</v>
      </c>
      <c r="H8" s="21" t="s">
        <v>72</v>
      </c>
    </row>
    <row r="9" customFormat="false" ht="18.75" hidden="false" customHeight="true" outlineLevel="0" collapsed="false">
      <c r="B9" s="6" t="s">
        <v>73</v>
      </c>
      <c r="C9" s="24" t="n">
        <v>38</v>
      </c>
      <c r="H9" s="21" t="s">
        <v>74</v>
      </c>
    </row>
    <row r="10" customFormat="false" ht="15" hidden="false" customHeight="true" outlineLevel="0" collapsed="false">
      <c r="B10" s="6" t="s">
        <v>75</v>
      </c>
      <c r="C10" s="25" t="n">
        <f aca="false">C8-C9</f>
        <v>15.2</v>
      </c>
    </row>
    <row r="11" customFormat="false" ht="15" hidden="false" customHeight="true" outlineLevel="0" collapsed="false">
      <c r="B11" s="6" t="s">
        <v>76</v>
      </c>
      <c r="C11" s="24" t="n">
        <v>215.9</v>
      </c>
      <c r="H11" s="21" t="s">
        <v>77</v>
      </c>
    </row>
    <row r="13" customFormat="false" ht="18" hidden="false" customHeight="true" outlineLevel="0" collapsed="false">
      <c r="B13" s="13" t="s">
        <v>78</v>
      </c>
      <c r="C13" s="13"/>
      <c r="D13" s="13"/>
      <c r="E13" s="13"/>
      <c r="F13" s="13"/>
    </row>
    <row r="14" customFormat="false" ht="15" hidden="false" customHeight="true" outlineLevel="0" collapsed="false">
      <c r="B14" s="6" t="s">
        <v>79</v>
      </c>
      <c r="C14" s="26" t="n">
        <v>0.046</v>
      </c>
      <c r="H14" s="21" t="s">
        <v>80</v>
      </c>
    </row>
    <row r="15" customFormat="false" ht="15" hidden="false" customHeight="true" outlineLevel="0" collapsed="false">
      <c r="B15" s="6" t="s">
        <v>81</v>
      </c>
      <c r="C15" s="26" t="n">
        <v>0.045</v>
      </c>
      <c r="H15" s="21" t="s">
        <v>82</v>
      </c>
    </row>
    <row r="16" customFormat="false" ht="15" hidden="false" customHeight="true" outlineLevel="0" collapsed="false">
      <c r="B16" s="6" t="s">
        <v>83</v>
      </c>
      <c r="C16" s="27" t="n">
        <v>2.2</v>
      </c>
      <c r="H16" s="21" t="s">
        <v>84</v>
      </c>
    </row>
    <row r="17" customFormat="false" ht="15" hidden="false" customHeight="true" outlineLevel="0" collapsed="false">
      <c r="B17" s="6" t="s">
        <v>85</v>
      </c>
      <c r="C17" s="28" t="n">
        <f aca="false">C14+C16*C15</f>
        <v>0.145</v>
      </c>
    </row>
    <row r="18" customFormat="false" ht="15" hidden="false" customHeight="true" outlineLevel="0" collapsed="false">
      <c r="B18" s="6" t="s">
        <v>86</v>
      </c>
      <c r="C18" s="26" t="n">
        <v>0.0525</v>
      </c>
      <c r="H18" s="21" t="s">
        <v>87</v>
      </c>
    </row>
    <row r="19" customFormat="false" ht="15" hidden="false" customHeight="true" outlineLevel="0" collapsed="false">
      <c r="B19" s="6" t="s">
        <v>88</v>
      </c>
      <c r="C19" s="26" t="n">
        <v>0.21</v>
      </c>
      <c r="H19" s="21" t="s">
        <v>89</v>
      </c>
    </row>
    <row r="20" customFormat="false" ht="15" hidden="false" customHeight="true" outlineLevel="0" collapsed="false">
      <c r="B20" s="6" t="s">
        <v>90</v>
      </c>
      <c r="C20" s="28" t="n">
        <f aca="false">C18*(1-C19)</f>
        <v>0.041475</v>
      </c>
    </row>
    <row r="21" customFormat="false" ht="15" hidden="false" customHeight="true" outlineLevel="0" collapsed="false">
      <c r="B21" s="6" t="s">
        <v>91</v>
      </c>
      <c r="C21" s="29" t="n">
        <f aca="false">C6*C7</f>
        <v>5207.3</v>
      </c>
    </row>
    <row r="22" customFormat="false" ht="15" hidden="false" customHeight="true" outlineLevel="0" collapsed="false">
      <c r="B22" s="6" t="s">
        <v>92</v>
      </c>
      <c r="C22" s="29" t="n">
        <f aca="false">C9</f>
        <v>38</v>
      </c>
    </row>
    <row r="23" customFormat="false" ht="15" hidden="false" customHeight="true" outlineLevel="0" collapsed="false">
      <c r="B23" s="6" t="s">
        <v>93</v>
      </c>
      <c r="C23" s="28" t="n">
        <f aca="false">C21/(C21+C22)</f>
        <v>0.992755419137132</v>
      </c>
    </row>
    <row r="24" customFormat="false" ht="15" hidden="false" customHeight="true" outlineLevel="0" collapsed="false">
      <c r="B24" s="6" t="s">
        <v>94</v>
      </c>
      <c r="C24" s="28" t="n">
        <f aca="false">C22/(C21+C22)</f>
        <v>0.00724458086286771</v>
      </c>
    </row>
    <row r="25" customFormat="false" ht="15" hidden="false" customHeight="true" outlineLevel="0" collapsed="false">
      <c r="B25" s="6" t="s">
        <v>95</v>
      </c>
      <c r="C25" s="28" t="n">
        <f aca="false">C23*C17+C24*C20</f>
        <v>0.144250004766172</v>
      </c>
    </row>
    <row r="27" customFormat="false" ht="18" hidden="false" customHeight="true" outlineLevel="0" collapsed="false">
      <c r="B27" s="13" t="s">
        <v>96</v>
      </c>
      <c r="C27" s="13"/>
      <c r="D27" s="13"/>
      <c r="E27" s="13"/>
      <c r="F27" s="13"/>
    </row>
    <row r="28" customFormat="false" ht="15" hidden="false" customHeight="true" outlineLevel="0" collapsed="false">
      <c r="B28" s="30"/>
      <c r="C28" s="30" t="s">
        <v>97</v>
      </c>
      <c r="D28" s="30" t="s">
        <v>64</v>
      </c>
      <c r="E28" s="30" t="s">
        <v>98</v>
      </c>
      <c r="F28" s="30" t="s">
        <v>99</v>
      </c>
    </row>
    <row r="29" customFormat="false" ht="15" hidden="false" customHeight="true" outlineLevel="0" collapsed="false">
      <c r="B29" s="6" t="s">
        <v>35</v>
      </c>
      <c r="C29" s="26" t="n">
        <v>0.165</v>
      </c>
      <c r="D29" s="28" t="n">
        <f aca="false">C25</f>
        <v>0.144250004766172</v>
      </c>
      <c r="E29" s="26" t="n">
        <v>0.13</v>
      </c>
      <c r="F29" s="31" t="n">
        <f aca="false">IF($C$3="Bear",C29,IF($C$3="Base",D29,E29))</f>
        <v>0.144250004766172</v>
      </c>
    </row>
    <row r="30" customFormat="false" ht="15" hidden="false" customHeight="true" outlineLevel="0" collapsed="false">
      <c r="B30" s="6" t="s">
        <v>100</v>
      </c>
      <c r="C30" s="26" t="n">
        <v>0.025</v>
      </c>
      <c r="D30" s="26" t="n">
        <v>0.035</v>
      </c>
      <c r="E30" s="26" t="n">
        <v>0.045</v>
      </c>
      <c r="F30" s="31" t="n">
        <f aca="false">IF($C$3="Bear",C30,IF($C$3="Base",D30,E30))</f>
        <v>0.035</v>
      </c>
    </row>
    <row r="31" customFormat="false" ht="15" hidden="false" customHeight="true" outlineLevel="0" collapsed="false">
      <c r="B31" s="6" t="s">
        <v>101</v>
      </c>
      <c r="C31" s="32" t="n">
        <v>14</v>
      </c>
      <c r="D31" s="32" t="n">
        <v>18</v>
      </c>
      <c r="E31" s="32" t="n">
        <v>24</v>
      </c>
      <c r="F31" s="33" t="n">
        <f aca="false">IF($C$3="Bear",C31,IF($C$3="Base",D31,E31))</f>
        <v>18</v>
      </c>
    </row>
    <row r="33" customFormat="false" ht="18" hidden="false" customHeight="true" outlineLevel="0" collapsed="false">
      <c r="B33" s="13" t="s">
        <v>102</v>
      </c>
      <c r="C33" s="13"/>
      <c r="D33" s="13"/>
      <c r="E33" s="13"/>
      <c r="F33" s="13"/>
    </row>
    <row r="34" customFormat="false" ht="15" hidden="false" customHeight="true" outlineLevel="0" collapsed="false">
      <c r="B34" s="30"/>
      <c r="C34" s="30" t="s">
        <v>97</v>
      </c>
      <c r="D34" s="30" t="s">
        <v>64</v>
      </c>
      <c r="E34" s="30" t="s">
        <v>98</v>
      </c>
      <c r="F34" s="30" t="s">
        <v>99</v>
      </c>
    </row>
    <row r="35" customFormat="false" ht="15" hidden="false" customHeight="true" outlineLevel="0" collapsed="false">
      <c r="B35" s="6" t="s">
        <v>103</v>
      </c>
      <c r="C35" s="26" t="n">
        <v>0.82</v>
      </c>
      <c r="D35" s="26" t="n">
        <v>0.82</v>
      </c>
      <c r="E35" s="26" t="n">
        <v>0.82</v>
      </c>
      <c r="F35" s="31" t="n">
        <f aca="false">IF($C$3="Bear",C35,IF($C$3="Base",D35,E35))</f>
        <v>0.82</v>
      </c>
    </row>
    <row r="36" customFormat="false" ht="15" hidden="false" customHeight="true" outlineLevel="0" collapsed="false">
      <c r="B36" s="6" t="s">
        <v>104</v>
      </c>
      <c r="C36" s="26" t="n">
        <v>0.14</v>
      </c>
      <c r="D36" s="26" t="n">
        <v>0.18</v>
      </c>
      <c r="E36" s="26" t="n">
        <v>0.22</v>
      </c>
      <c r="F36" s="31" t="n">
        <f aca="false">IF($C$3="Bear",C36,IF($C$3="Base",D36,E36))</f>
        <v>0.18</v>
      </c>
    </row>
    <row r="37" customFormat="false" ht="15" hidden="false" customHeight="true" outlineLevel="0" collapsed="false">
      <c r="B37" s="6" t="s">
        <v>105</v>
      </c>
      <c r="C37" s="26" t="n">
        <v>0.12</v>
      </c>
      <c r="D37" s="26" t="n">
        <v>0.16</v>
      </c>
      <c r="E37" s="26" t="n">
        <v>0.2</v>
      </c>
      <c r="F37" s="31" t="n">
        <f aca="false">IF($C$3="Bear",C37,IF($C$3="Base",D37,E37))</f>
        <v>0.16</v>
      </c>
    </row>
    <row r="38" customFormat="false" ht="15" hidden="false" customHeight="true" outlineLevel="0" collapsed="false">
      <c r="B38" s="6" t="s">
        <v>106</v>
      </c>
      <c r="C38" s="26" t="n">
        <v>0.1</v>
      </c>
      <c r="D38" s="26" t="n">
        <v>0.14</v>
      </c>
      <c r="E38" s="26" t="n">
        <v>0.18</v>
      </c>
      <c r="F38" s="31" t="n">
        <f aca="false">IF($C$3="Bear",C38,IF($C$3="Base",D38,E38))</f>
        <v>0.14</v>
      </c>
    </row>
    <row r="39" customFormat="false" ht="15" hidden="false" customHeight="true" outlineLevel="0" collapsed="false">
      <c r="B39" s="6" t="s">
        <v>107</v>
      </c>
      <c r="C39" s="26" t="n">
        <v>0.08</v>
      </c>
      <c r="D39" s="26" t="n">
        <v>0.12</v>
      </c>
      <c r="E39" s="26" t="n">
        <v>0.16</v>
      </c>
      <c r="F39" s="31" t="n">
        <f aca="false">IF($C$3="Bear",C39,IF($C$3="Base",D39,E39))</f>
        <v>0.12</v>
      </c>
    </row>
    <row r="41" customFormat="false" ht="18" hidden="false" customHeight="true" outlineLevel="0" collapsed="false">
      <c r="B41" s="13" t="s">
        <v>108</v>
      </c>
      <c r="C41" s="13"/>
      <c r="D41" s="13"/>
      <c r="E41" s="13"/>
      <c r="F41" s="13"/>
    </row>
    <row r="42" customFormat="false" ht="15" hidden="false" customHeight="true" outlineLevel="0" collapsed="false">
      <c r="B42" s="30"/>
      <c r="C42" s="30" t="s">
        <v>97</v>
      </c>
      <c r="D42" s="30" t="s">
        <v>64</v>
      </c>
      <c r="E42" s="30" t="s">
        <v>98</v>
      </c>
      <c r="F42" s="30" t="s">
        <v>99</v>
      </c>
    </row>
    <row r="43" customFormat="false" ht="15" hidden="false" customHeight="true" outlineLevel="0" collapsed="false">
      <c r="B43" s="6" t="s">
        <v>103</v>
      </c>
      <c r="C43" s="26" t="n">
        <v>0.749</v>
      </c>
      <c r="D43" s="26" t="n">
        <v>0.75</v>
      </c>
      <c r="E43" s="26" t="n">
        <v>0.75</v>
      </c>
      <c r="F43" s="31" t="n">
        <f aca="false">IF($C$3="Bear",C43,IF($C$3="Base",D43,E43))</f>
        <v>0.75</v>
      </c>
    </row>
    <row r="44" customFormat="false" ht="15" hidden="false" customHeight="true" outlineLevel="0" collapsed="false">
      <c r="B44" s="6" t="s">
        <v>104</v>
      </c>
      <c r="C44" s="26" t="n">
        <v>0.72</v>
      </c>
      <c r="D44" s="26" t="n">
        <v>0.74</v>
      </c>
      <c r="E44" s="26" t="n">
        <v>0.755</v>
      </c>
      <c r="F44" s="31" t="n">
        <f aca="false">IF($C$3="Bear",C44,IF($C$3="Base",D44,E44))</f>
        <v>0.74</v>
      </c>
    </row>
    <row r="45" customFormat="false" ht="15" hidden="false" customHeight="true" outlineLevel="0" collapsed="false">
      <c r="B45" s="6" t="s">
        <v>105</v>
      </c>
      <c r="C45" s="26" t="n">
        <v>0.7</v>
      </c>
      <c r="D45" s="26" t="n">
        <v>0.73</v>
      </c>
      <c r="E45" s="26" t="n">
        <v>0.755</v>
      </c>
      <c r="F45" s="31" t="n">
        <f aca="false">IF($C$3="Bear",C45,IF($C$3="Base",D45,E45))</f>
        <v>0.73</v>
      </c>
    </row>
    <row r="46" customFormat="false" ht="15" hidden="false" customHeight="true" outlineLevel="0" collapsed="false">
      <c r="B46" s="6" t="s">
        <v>106</v>
      </c>
      <c r="C46" s="26" t="n">
        <v>0.69</v>
      </c>
      <c r="D46" s="26" t="n">
        <v>0.725</v>
      </c>
      <c r="E46" s="26" t="n">
        <v>0.755</v>
      </c>
      <c r="F46" s="31" t="n">
        <f aca="false">IF($C$3="Bear",C46,IF($C$3="Base",D46,E46))</f>
        <v>0.725</v>
      </c>
    </row>
    <row r="47" customFormat="false" ht="15" hidden="false" customHeight="true" outlineLevel="0" collapsed="false">
      <c r="B47" s="6" t="s">
        <v>107</v>
      </c>
      <c r="C47" s="26" t="n">
        <v>0.68</v>
      </c>
      <c r="D47" s="26" t="n">
        <v>0.72</v>
      </c>
      <c r="E47" s="26" t="n">
        <v>0.755</v>
      </c>
      <c r="F47" s="31" t="n">
        <f aca="false">IF($C$3="Bear",C47,IF($C$3="Base",D47,E47))</f>
        <v>0.72</v>
      </c>
    </row>
    <row r="49" customFormat="false" ht="18" hidden="false" customHeight="true" outlineLevel="0" collapsed="false">
      <c r="B49" s="13" t="s">
        <v>109</v>
      </c>
      <c r="C49" s="13"/>
      <c r="D49" s="13"/>
      <c r="E49" s="13"/>
      <c r="F49" s="13"/>
    </row>
    <row r="50" customFormat="false" ht="15" hidden="false" customHeight="true" outlineLevel="0" collapsed="false">
      <c r="B50" s="30"/>
      <c r="C50" s="30" t="s">
        <v>97</v>
      </c>
      <c r="D50" s="30" t="s">
        <v>64</v>
      </c>
      <c r="E50" s="30" t="s">
        <v>98</v>
      </c>
      <c r="F50" s="30" t="s">
        <v>99</v>
      </c>
    </row>
    <row r="51" customFormat="false" ht="15" hidden="false" customHeight="true" outlineLevel="0" collapsed="false">
      <c r="B51" s="6" t="s">
        <v>103</v>
      </c>
      <c r="C51" s="26" t="n">
        <v>0.1</v>
      </c>
      <c r="D51" s="26" t="n">
        <v>0.095</v>
      </c>
      <c r="E51" s="26" t="n">
        <v>0.09</v>
      </c>
      <c r="F51" s="31" t="n">
        <f aca="false">IF($C$3="Bear",C51,IF($C$3="Base",D51,E51))</f>
        <v>0.095</v>
      </c>
    </row>
    <row r="52" customFormat="false" ht="15" hidden="false" customHeight="true" outlineLevel="0" collapsed="false">
      <c r="B52" s="6" t="s">
        <v>104</v>
      </c>
      <c r="C52" s="26" t="n">
        <v>0.1</v>
      </c>
      <c r="D52" s="26" t="n">
        <v>0.09</v>
      </c>
      <c r="E52" s="26" t="n">
        <v>0.085</v>
      </c>
      <c r="F52" s="31" t="n">
        <f aca="false">IF($C$3="Bear",C52,IF($C$3="Base",D52,E52))</f>
        <v>0.09</v>
      </c>
    </row>
    <row r="53" customFormat="false" ht="15" hidden="false" customHeight="true" outlineLevel="0" collapsed="false">
      <c r="B53" s="6" t="s">
        <v>105</v>
      </c>
      <c r="C53" s="26" t="n">
        <v>0.1</v>
      </c>
      <c r="D53" s="26" t="n">
        <v>0.085</v>
      </c>
      <c r="E53" s="26" t="n">
        <v>0.08</v>
      </c>
      <c r="F53" s="31" t="n">
        <f aca="false">IF($C$3="Bear",C53,IF($C$3="Base",D53,E53))</f>
        <v>0.085</v>
      </c>
    </row>
    <row r="54" customFormat="false" ht="15" hidden="false" customHeight="true" outlineLevel="0" collapsed="false">
      <c r="B54" s="6" t="s">
        <v>106</v>
      </c>
      <c r="C54" s="26" t="n">
        <v>0.1</v>
      </c>
      <c r="D54" s="26" t="n">
        <v>0.085</v>
      </c>
      <c r="E54" s="26" t="n">
        <v>0.08</v>
      </c>
      <c r="F54" s="31" t="n">
        <f aca="false">IF($C$3="Bear",C54,IF($C$3="Base",D54,E54))</f>
        <v>0.085</v>
      </c>
    </row>
    <row r="55" customFormat="false" ht="15" hidden="false" customHeight="true" outlineLevel="0" collapsed="false">
      <c r="B55" s="6" t="s">
        <v>107</v>
      </c>
      <c r="C55" s="26" t="n">
        <v>0.1</v>
      </c>
      <c r="D55" s="26" t="n">
        <v>0.085</v>
      </c>
      <c r="E55" s="26" t="n">
        <v>0.08</v>
      </c>
      <c r="F55" s="31" t="n">
        <f aca="false">IF($C$3="Bear",C55,IF($C$3="Base",D55,E55))</f>
        <v>0.085</v>
      </c>
    </row>
    <row r="57" customFormat="false" ht="18" hidden="false" customHeight="true" outlineLevel="0" collapsed="false">
      <c r="B57" s="13" t="s">
        <v>110</v>
      </c>
      <c r="C57" s="13"/>
      <c r="D57" s="13"/>
      <c r="E57" s="13"/>
      <c r="F57" s="13"/>
    </row>
    <row r="58" customFormat="false" ht="15" hidden="false" customHeight="true" outlineLevel="0" collapsed="false">
      <c r="B58" s="30"/>
      <c r="C58" s="30" t="s">
        <v>97</v>
      </c>
      <c r="D58" s="30" t="s">
        <v>64</v>
      </c>
      <c r="E58" s="30" t="s">
        <v>98</v>
      </c>
      <c r="F58" s="30" t="s">
        <v>99</v>
      </c>
    </row>
    <row r="59" customFormat="false" ht="15" hidden="false" customHeight="true" outlineLevel="0" collapsed="false">
      <c r="B59" s="6" t="s">
        <v>103</v>
      </c>
      <c r="C59" s="26" t="n">
        <v>0.22</v>
      </c>
      <c r="D59" s="26" t="n">
        <v>0.17</v>
      </c>
      <c r="E59" s="26" t="n">
        <v>0.16</v>
      </c>
      <c r="F59" s="31" t="n">
        <f aca="false">IF($C$3="Bear",C59,IF($C$3="Base",D59,E59))</f>
        <v>0.17</v>
      </c>
    </row>
    <row r="60" customFormat="false" ht="15" hidden="false" customHeight="true" outlineLevel="0" collapsed="false">
      <c r="B60" s="6" t="s">
        <v>104</v>
      </c>
      <c r="C60" s="26" t="n">
        <v>0.22</v>
      </c>
      <c r="D60" s="26" t="n">
        <v>0.18</v>
      </c>
      <c r="E60" s="26" t="n">
        <v>0.16</v>
      </c>
      <c r="F60" s="31" t="n">
        <f aca="false">IF($C$3="Bear",C60,IF($C$3="Base",D60,E60))</f>
        <v>0.18</v>
      </c>
    </row>
    <row r="61" customFormat="false" ht="15" hidden="false" customHeight="true" outlineLevel="0" collapsed="false">
      <c r="B61" s="6" t="s">
        <v>105</v>
      </c>
      <c r="C61" s="26" t="n">
        <v>0.22</v>
      </c>
      <c r="D61" s="26" t="n">
        <v>0.19</v>
      </c>
      <c r="E61" s="26" t="n">
        <v>0.16</v>
      </c>
      <c r="F61" s="31" t="n">
        <f aca="false">IF($C$3="Bear",C61,IF($C$3="Base",D61,E61))</f>
        <v>0.19</v>
      </c>
    </row>
    <row r="62" customFormat="false" ht="15" hidden="false" customHeight="true" outlineLevel="0" collapsed="false">
      <c r="B62" s="6" t="s">
        <v>106</v>
      </c>
      <c r="C62" s="26" t="n">
        <v>0.22</v>
      </c>
      <c r="D62" s="26" t="n">
        <v>0.2</v>
      </c>
      <c r="E62" s="26" t="n">
        <v>0.16</v>
      </c>
      <c r="F62" s="31" t="n">
        <f aca="false">IF($C$3="Bear",C62,IF($C$3="Base",D62,E62))</f>
        <v>0.2</v>
      </c>
    </row>
    <row r="63" customFormat="false" ht="15" hidden="false" customHeight="true" outlineLevel="0" collapsed="false">
      <c r="B63" s="6" t="s">
        <v>107</v>
      </c>
      <c r="C63" s="26" t="n">
        <v>0.22</v>
      </c>
      <c r="D63" s="26" t="n">
        <v>0.21</v>
      </c>
      <c r="E63" s="26" t="n">
        <v>0.16</v>
      </c>
      <c r="F63" s="31" t="n">
        <f aca="false">IF($C$3="Bear",C63,IF($C$3="Base",D63,E63))</f>
        <v>0.21</v>
      </c>
    </row>
    <row r="65" customFormat="false" ht="18" hidden="false" customHeight="true" outlineLevel="0" collapsed="false">
      <c r="B65" s="13" t="s">
        <v>111</v>
      </c>
      <c r="C65" s="13"/>
      <c r="D65" s="13"/>
      <c r="E65" s="13"/>
      <c r="F65" s="13"/>
    </row>
    <row r="66" customFormat="false" ht="15" hidden="false" customHeight="true" outlineLevel="0" collapsed="false">
      <c r="B66" s="30"/>
      <c r="C66" s="30" t="s">
        <v>97</v>
      </c>
      <c r="D66" s="30" t="s">
        <v>64</v>
      </c>
      <c r="E66" s="30" t="s">
        <v>98</v>
      </c>
      <c r="F66" s="30" t="s">
        <v>99</v>
      </c>
    </row>
    <row r="67" customFormat="false" ht="15" hidden="false" customHeight="true" outlineLevel="0" collapsed="false">
      <c r="B67" s="6" t="s">
        <v>103</v>
      </c>
      <c r="C67" s="26" t="n">
        <v>0.02</v>
      </c>
      <c r="D67" s="26" t="n">
        <v>0.02</v>
      </c>
      <c r="E67" s="26" t="n">
        <v>0.02</v>
      </c>
      <c r="F67" s="31" t="n">
        <f aca="false">IF($C$3="Bear",C67,IF($C$3="Base",D67,E67))</f>
        <v>0.02</v>
      </c>
    </row>
    <row r="68" customFormat="false" ht="15" hidden="false" customHeight="true" outlineLevel="0" collapsed="false">
      <c r="B68" s="6" t="s">
        <v>104</v>
      </c>
      <c r="C68" s="26" t="n">
        <v>0.02</v>
      </c>
      <c r="D68" s="26" t="n">
        <v>0.02</v>
      </c>
      <c r="E68" s="26" t="n">
        <v>0.02</v>
      </c>
      <c r="F68" s="31" t="n">
        <f aca="false">IF($C$3="Bear",C68,IF($C$3="Base",D68,E68))</f>
        <v>0.02</v>
      </c>
    </row>
    <row r="69" customFormat="false" ht="15" hidden="false" customHeight="true" outlineLevel="0" collapsed="false">
      <c r="B69" s="6" t="s">
        <v>105</v>
      </c>
      <c r="C69" s="26" t="n">
        <v>0.02</v>
      </c>
      <c r="D69" s="26" t="n">
        <v>0.02</v>
      </c>
      <c r="E69" s="26" t="n">
        <v>0.02</v>
      </c>
      <c r="F69" s="31" t="n">
        <f aca="false">IF($C$3="Bear",C69,IF($C$3="Base",D69,E69))</f>
        <v>0.02</v>
      </c>
    </row>
    <row r="70" customFormat="false" ht="15" hidden="false" customHeight="true" outlineLevel="0" collapsed="false">
      <c r="B70" s="6" t="s">
        <v>106</v>
      </c>
      <c r="C70" s="26" t="n">
        <v>0.02</v>
      </c>
      <c r="D70" s="26" t="n">
        <v>0.02</v>
      </c>
      <c r="E70" s="26" t="n">
        <v>0.02</v>
      </c>
      <c r="F70" s="31" t="n">
        <f aca="false">IF($C$3="Bear",C70,IF($C$3="Base",D70,E70))</f>
        <v>0.02</v>
      </c>
    </row>
    <row r="71" customFormat="false" ht="15" hidden="false" customHeight="true" outlineLevel="0" collapsed="false">
      <c r="B71" s="6" t="s">
        <v>107</v>
      </c>
      <c r="C71" s="26" t="n">
        <v>0.02</v>
      </c>
      <c r="D71" s="26" t="n">
        <v>0.02</v>
      </c>
      <c r="E71" s="26" t="n">
        <v>0.02</v>
      </c>
      <c r="F71" s="31" t="n">
        <f aca="false">IF($C$3="Bear",C71,IF($C$3="Base",D71,E71))</f>
        <v>0.02</v>
      </c>
    </row>
    <row r="73" customFormat="false" ht="18" hidden="false" customHeight="true" outlineLevel="0" collapsed="false">
      <c r="B73" s="13" t="s">
        <v>112</v>
      </c>
      <c r="C73" s="13"/>
      <c r="D73" s="13"/>
      <c r="E73" s="13"/>
      <c r="F73" s="13"/>
    </row>
    <row r="74" customFormat="false" ht="15" hidden="false" customHeight="true" outlineLevel="0" collapsed="false">
      <c r="B74" s="30"/>
      <c r="C74" s="30" t="s">
        <v>97</v>
      </c>
      <c r="D74" s="30" t="s">
        <v>64</v>
      </c>
      <c r="E74" s="30" t="s">
        <v>98</v>
      </c>
      <c r="F74" s="30" t="s">
        <v>99</v>
      </c>
    </row>
    <row r="75" customFormat="false" ht="15" hidden="false" customHeight="true" outlineLevel="0" collapsed="false">
      <c r="B75" s="6" t="s">
        <v>103</v>
      </c>
      <c r="C75" s="26" t="n">
        <v>0.045</v>
      </c>
      <c r="D75" s="26" t="n">
        <v>0.035</v>
      </c>
      <c r="E75" s="26" t="n">
        <v>0.03</v>
      </c>
      <c r="F75" s="31" t="n">
        <f aca="false">IF($C$3="Bear",C75,IF($C$3="Base",D75,E75))</f>
        <v>0.035</v>
      </c>
    </row>
    <row r="76" customFormat="false" ht="15" hidden="false" customHeight="true" outlineLevel="0" collapsed="false">
      <c r="B76" s="6" t="s">
        <v>104</v>
      </c>
      <c r="C76" s="26" t="n">
        <v>0.048</v>
      </c>
      <c r="D76" s="26" t="n">
        <v>0.038</v>
      </c>
      <c r="E76" s="26" t="n">
        <v>0.032</v>
      </c>
      <c r="F76" s="31" t="n">
        <f aca="false">IF($C$3="Bear",C76,IF($C$3="Base",D76,E76))</f>
        <v>0.038</v>
      </c>
    </row>
    <row r="77" customFormat="false" ht="15" hidden="false" customHeight="true" outlineLevel="0" collapsed="false">
      <c r="B77" s="6" t="s">
        <v>105</v>
      </c>
      <c r="C77" s="26" t="n">
        <v>0.05</v>
      </c>
      <c r="D77" s="26" t="n">
        <v>0.04</v>
      </c>
      <c r="E77" s="26" t="n">
        <v>0.034</v>
      </c>
      <c r="F77" s="31" t="n">
        <f aca="false">IF($C$3="Bear",C77,IF($C$3="Base",D77,E77))</f>
        <v>0.04</v>
      </c>
    </row>
    <row r="78" customFormat="false" ht="15" hidden="false" customHeight="true" outlineLevel="0" collapsed="false">
      <c r="B78" s="6" t="s">
        <v>106</v>
      </c>
      <c r="C78" s="26" t="n">
        <v>0.053</v>
      </c>
      <c r="D78" s="26" t="n">
        <v>0.043</v>
      </c>
      <c r="E78" s="26" t="n">
        <v>0.036</v>
      </c>
      <c r="F78" s="31" t="n">
        <f aca="false">IF($C$3="Bear",C78,IF($C$3="Base",D78,E78))</f>
        <v>0.043</v>
      </c>
    </row>
    <row r="79" customFormat="false" ht="15" hidden="false" customHeight="true" outlineLevel="0" collapsed="false">
      <c r="B79" s="6" t="s">
        <v>107</v>
      </c>
      <c r="C79" s="26" t="n">
        <v>0.055</v>
      </c>
      <c r="D79" s="26" t="n">
        <v>0.045</v>
      </c>
      <c r="E79" s="26" t="n">
        <v>0.038</v>
      </c>
      <c r="F79" s="31" t="n">
        <f aca="false">IF($C$3="Bear",C79,IF($C$3="Base",D79,E79))</f>
        <v>0.045</v>
      </c>
    </row>
    <row r="81" customFormat="false" ht="18" hidden="false" customHeight="true" outlineLevel="0" collapsed="false">
      <c r="B81" s="13" t="s">
        <v>113</v>
      </c>
      <c r="C81" s="13"/>
      <c r="D81" s="13"/>
      <c r="E81" s="13"/>
      <c r="F81" s="13"/>
    </row>
    <row r="82" customFormat="false" ht="15" hidden="false" customHeight="true" outlineLevel="0" collapsed="false">
      <c r="B82" s="30"/>
      <c r="C82" s="30" t="s">
        <v>97</v>
      </c>
      <c r="D82" s="30" t="s">
        <v>64</v>
      </c>
      <c r="E82" s="30" t="s">
        <v>98</v>
      </c>
      <c r="F82" s="30" t="s">
        <v>99</v>
      </c>
    </row>
    <row r="83" customFormat="false" ht="15" hidden="false" customHeight="true" outlineLevel="0" collapsed="false">
      <c r="B83" s="6" t="s">
        <v>103</v>
      </c>
      <c r="C83" s="26" t="n">
        <v>0.1</v>
      </c>
      <c r="D83" s="26" t="n">
        <v>0.08</v>
      </c>
      <c r="E83" s="26" t="n">
        <v>0.06</v>
      </c>
      <c r="F83" s="31" t="n">
        <f aca="false">IF($C$3="Bear",C83,IF($C$3="Base",D83,E83))</f>
        <v>0.08</v>
      </c>
    </row>
    <row r="84" customFormat="false" ht="15" hidden="false" customHeight="true" outlineLevel="0" collapsed="false">
      <c r="B84" s="6" t="s">
        <v>104</v>
      </c>
      <c r="C84" s="26" t="n">
        <v>0.1</v>
      </c>
      <c r="D84" s="26" t="n">
        <v>0.08</v>
      </c>
      <c r="E84" s="26" t="n">
        <v>0.05</v>
      </c>
      <c r="F84" s="31" t="n">
        <f aca="false">IF($C$3="Bear",C84,IF($C$3="Base",D84,E84))</f>
        <v>0.08</v>
      </c>
    </row>
    <row r="85" customFormat="false" ht="15" hidden="false" customHeight="true" outlineLevel="0" collapsed="false">
      <c r="B85" s="6" t="s">
        <v>105</v>
      </c>
      <c r="C85" s="26" t="n">
        <v>0.09</v>
      </c>
      <c r="D85" s="26" t="n">
        <v>0.06</v>
      </c>
      <c r="E85" s="26" t="n">
        <v>0.05</v>
      </c>
      <c r="F85" s="31" t="n">
        <f aca="false">IF($C$3="Bear",C85,IF($C$3="Base",D85,E85))</f>
        <v>0.06</v>
      </c>
    </row>
    <row r="86" customFormat="false" ht="15" hidden="false" customHeight="true" outlineLevel="0" collapsed="false">
      <c r="B86" s="6" t="s">
        <v>106</v>
      </c>
      <c r="C86" s="26" t="n">
        <v>0.09</v>
      </c>
      <c r="D86" s="26" t="n">
        <v>0.05</v>
      </c>
      <c r="E86" s="26" t="n">
        <v>0.04</v>
      </c>
      <c r="F86" s="31" t="n">
        <f aca="false">IF($C$3="Bear",C86,IF($C$3="Base",D86,E86))</f>
        <v>0.05</v>
      </c>
    </row>
    <row r="87" customFormat="false" ht="15" hidden="false" customHeight="true" outlineLevel="0" collapsed="false">
      <c r="B87" s="6" t="s">
        <v>107</v>
      </c>
      <c r="C87" s="26" t="n">
        <v>0.08</v>
      </c>
      <c r="D87" s="26" t="n">
        <v>0.04</v>
      </c>
      <c r="E87" s="26" t="n">
        <v>0.04</v>
      </c>
      <c r="F87" s="31" t="n">
        <f aca="false">IF($C$3="Bear",C87,IF($C$3="Base",D87,E87))</f>
        <v>0.04</v>
      </c>
    </row>
  </sheetData>
  <mergeCells count="11">
    <mergeCell ref="B1:F1"/>
    <mergeCell ref="B5:F5"/>
    <mergeCell ref="B13:F13"/>
    <mergeCell ref="B27:F27"/>
    <mergeCell ref="B33:F33"/>
    <mergeCell ref="B41:F41"/>
    <mergeCell ref="B49:F49"/>
    <mergeCell ref="B57:F57"/>
    <mergeCell ref="B65:F65"/>
    <mergeCell ref="B73:F73"/>
    <mergeCell ref="B81:F81"/>
  </mergeCells>
  <dataValidations count="1">
    <dataValidation allowBlank="false" errorStyle="stop" operator="between" showDropDown="false" showErrorMessage="false" showInputMessage="false" sqref="C3" type="list">
      <formula1>"Bear,Base,Bull"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7" min="3" style="1" width="13"/>
    <col collapsed="false" customWidth="true" hidden="false" outlineLevel="0" max="8" min="8" style="1" width="3"/>
    <col collapsed="false" customWidth="true" hidden="false" outlineLevel="0" max="9" min="9" style="1" width="55"/>
  </cols>
  <sheetData>
    <row r="1" customFormat="false" ht="18" hidden="false" customHeight="true" outlineLevel="0" collapsed="false">
      <c r="B1" s="13" t="s">
        <v>114</v>
      </c>
      <c r="C1" s="13"/>
      <c r="D1" s="13"/>
      <c r="E1" s="13"/>
      <c r="F1" s="13"/>
      <c r="G1" s="13"/>
    </row>
    <row r="2" customFormat="false" ht="15" hidden="false" customHeight="true" outlineLevel="0" collapsed="false">
      <c r="B2" s="34" t="s">
        <v>115</v>
      </c>
      <c r="C2" s="34"/>
      <c r="D2" s="34"/>
      <c r="E2" s="34"/>
      <c r="F2" s="34"/>
      <c r="G2" s="34"/>
    </row>
    <row r="4" customFormat="false" ht="15" hidden="false" customHeight="true" outlineLevel="0" collapsed="false">
      <c r="B4" s="30"/>
      <c r="C4" s="30" t="s">
        <v>116</v>
      </c>
      <c r="D4" s="30" t="s">
        <v>117</v>
      </c>
      <c r="E4" s="30" t="s">
        <v>118</v>
      </c>
      <c r="F4" s="30" t="s">
        <v>119</v>
      </c>
      <c r="G4" s="30" t="s">
        <v>120</v>
      </c>
    </row>
    <row r="6" customFormat="false" ht="15" hidden="false" customHeight="true" outlineLevel="0" collapsed="false">
      <c r="B6" s="6" t="s">
        <v>121</v>
      </c>
      <c r="C6" s="24" t="n">
        <v>26.91</v>
      </c>
      <c r="D6" s="24" t="n">
        <v>26.97</v>
      </c>
      <c r="E6" s="24" t="n">
        <v>60.92</v>
      </c>
      <c r="F6" s="24" t="n">
        <v>130.5</v>
      </c>
      <c r="G6" s="24" t="n">
        <v>215.9</v>
      </c>
      <c r="I6" s="21" t="s">
        <v>122</v>
      </c>
    </row>
    <row r="7" customFormat="false" ht="15" hidden="false" customHeight="true" outlineLevel="0" collapsed="false">
      <c r="B7" s="6" t="s">
        <v>123</v>
      </c>
      <c r="C7" s="35" t="s">
        <v>124</v>
      </c>
      <c r="D7" s="28" t="n">
        <f aca="false">D6/C6-1</f>
        <v>0.00222965440356737</v>
      </c>
      <c r="E7" s="28" t="n">
        <f aca="false">E6/D6-1</f>
        <v>1.25880608083055</v>
      </c>
      <c r="F7" s="28" t="n">
        <f aca="false">F6/E6-1</f>
        <v>1.14215364412344</v>
      </c>
      <c r="G7" s="28" t="n">
        <f aca="false">G6/F6-1</f>
        <v>0.654406130268199</v>
      </c>
    </row>
    <row r="9" customFormat="false" ht="18.75" hidden="false" customHeight="true" outlineLevel="0" collapsed="false">
      <c r="B9" s="6" t="s">
        <v>125</v>
      </c>
      <c r="C9" s="26" t="n">
        <v>0.649</v>
      </c>
      <c r="D9" s="26" t="n">
        <v>0.569</v>
      </c>
      <c r="E9" s="26" t="n">
        <v>0.727</v>
      </c>
      <c r="F9" s="26" t="n">
        <v>0.75</v>
      </c>
      <c r="G9" s="26" t="n">
        <v>0.711</v>
      </c>
      <c r="I9" s="21" t="s">
        <v>126</v>
      </c>
    </row>
    <row r="10" customFormat="false" ht="15" hidden="false" customHeight="true" outlineLevel="0" collapsed="false">
      <c r="B10" s="6" t="s">
        <v>127</v>
      </c>
      <c r="C10" s="25" t="n">
        <f aca="false">C6*C9</f>
        <v>17.46459</v>
      </c>
      <c r="D10" s="25" t="n">
        <f aca="false">D6*D9</f>
        <v>15.34593</v>
      </c>
      <c r="E10" s="25" t="n">
        <f aca="false">E6*E9</f>
        <v>44.28884</v>
      </c>
      <c r="F10" s="25" t="n">
        <f aca="false">F6*F9</f>
        <v>97.875</v>
      </c>
      <c r="G10" s="25" t="n">
        <f aca="false">G6*G9</f>
        <v>153.5049</v>
      </c>
    </row>
    <row r="12" customFormat="false" ht="18.75" hidden="false" customHeight="true" outlineLevel="0" collapsed="false">
      <c r="B12" s="6" t="s">
        <v>128</v>
      </c>
      <c r="C12" s="24" t="n">
        <v>10.04</v>
      </c>
      <c r="D12" s="24" t="n">
        <v>4.224</v>
      </c>
      <c r="E12" s="24" t="n">
        <v>32.97</v>
      </c>
      <c r="F12" s="24" t="n">
        <v>81.453</v>
      </c>
      <c r="G12" s="24" t="n">
        <v>130.39</v>
      </c>
      <c r="I12" s="21" t="s">
        <v>129</v>
      </c>
    </row>
    <row r="13" customFormat="false" ht="15" hidden="false" customHeight="true" outlineLevel="0" collapsed="false">
      <c r="B13" s="6" t="s">
        <v>130</v>
      </c>
      <c r="C13" s="28" t="n">
        <f aca="false">C12/C6</f>
        <v>0.373095503530286</v>
      </c>
      <c r="D13" s="28" t="n">
        <f aca="false">D12/D6</f>
        <v>0.156618464961068</v>
      </c>
      <c r="E13" s="28" t="n">
        <f aca="false">E12/E6</f>
        <v>0.541201575837163</v>
      </c>
      <c r="F13" s="28" t="n">
        <f aca="false">F12/F6</f>
        <v>0.62416091954023</v>
      </c>
      <c r="G13" s="28" t="n">
        <f aca="false">G12/G6</f>
        <v>0.603937007874016</v>
      </c>
    </row>
    <row r="15" customFormat="false" ht="18.75" hidden="false" customHeight="true" outlineLevel="0" collapsed="false">
      <c r="B15" s="6" t="s">
        <v>131</v>
      </c>
      <c r="C15" s="24" t="n">
        <v>9.752</v>
      </c>
      <c r="D15" s="24" t="n">
        <v>4.368</v>
      </c>
      <c r="E15" s="24" t="n">
        <v>29.76</v>
      </c>
      <c r="F15" s="24" t="n">
        <v>72.9</v>
      </c>
      <c r="G15" s="24" t="n">
        <v>120.07</v>
      </c>
      <c r="I15" s="21" t="s">
        <v>132</v>
      </c>
    </row>
    <row r="16" customFormat="false" ht="15" hidden="false" customHeight="true" outlineLevel="0" collapsed="false">
      <c r="B16" s="6" t="s">
        <v>133</v>
      </c>
      <c r="C16" s="28" t="n">
        <f aca="false">C15/C6</f>
        <v>0.362393162393162</v>
      </c>
      <c r="D16" s="28" t="n">
        <f aca="false">D15/D6</f>
        <v>0.161957730812013</v>
      </c>
      <c r="E16" s="28" t="n">
        <f aca="false">E15/E6</f>
        <v>0.488509520682863</v>
      </c>
      <c r="F16" s="28" t="n">
        <f aca="false">F15/F6</f>
        <v>0.558620689655172</v>
      </c>
      <c r="G16" s="28" t="n">
        <f aca="false">G15/G6</f>
        <v>0.556137100509495</v>
      </c>
    </row>
    <row r="18" customFormat="false" ht="15" hidden="false" customHeight="true" outlineLevel="0" collapsed="false">
      <c r="B18" s="6" t="s">
        <v>134</v>
      </c>
      <c r="C18" s="22" t="n">
        <v>3.85</v>
      </c>
      <c r="D18" s="22" t="n">
        <v>1.74</v>
      </c>
      <c r="E18" s="22" t="n">
        <v>11.93</v>
      </c>
      <c r="F18" s="22" t="n">
        <v>2.94</v>
      </c>
      <c r="G18" s="22" t="n">
        <v>4.9</v>
      </c>
      <c r="I18" s="21" t="s">
        <v>135</v>
      </c>
    </row>
    <row r="19" customFormat="false" ht="18.75" hidden="false" customHeight="true" outlineLevel="0" collapsed="false">
      <c r="B19" s="6" t="s">
        <v>136</v>
      </c>
      <c r="C19" s="36" t="n">
        <f aca="false">C18/10</f>
        <v>0.385</v>
      </c>
      <c r="D19" s="36" t="n">
        <f aca="false">D18/10</f>
        <v>0.174</v>
      </c>
      <c r="E19" s="36" t="n">
        <f aca="false">E18/10</f>
        <v>1.193</v>
      </c>
      <c r="F19" s="36" t="n">
        <f aca="false">F18</f>
        <v>2.94</v>
      </c>
      <c r="G19" s="36" t="n">
        <f aca="false">G18</f>
        <v>4.9</v>
      </c>
      <c r="I19" s="21" t="s">
        <v>137</v>
      </c>
    </row>
    <row r="21" customFormat="false" ht="15" hidden="false" customHeight="true" outlineLevel="0" collapsed="false">
      <c r="B21" s="37" t="s">
        <v>138</v>
      </c>
    </row>
  </sheetData>
  <mergeCells count="2">
    <mergeCell ref="B1:G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7" min="3" style="1" width="13"/>
    <col collapsed="false" customWidth="true" hidden="false" outlineLevel="0" max="8" min="8" style="1" width="3"/>
    <col collapsed="false" customWidth="true" hidden="false" outlineLevel="0" max="9" min="9" style="1" width="55"/>
  </cols>
  <sheetData>
    <row r="1" customFormat="false" ht="18" hidden="false" customHeight="true" outlineLevel="0" collapsed="false">
      <c r="B1" s="13" t="s">
        <v>139</v>
      </c>
      <c r="C1" s="13"/>
      <c r="D1" s="13"/>
      <c r="E1" s="13"/>
      <c r="F1" s="13"/>
      <c r="G1" s="13"/>
    </row>
    <row r="2" customFormat="false" ht="15" hidden="false" customHeight="true" outlineLevel="0" collapsed="false">
      <c r="B2" s="12" t="s">
        <v>140</v>
      </c>
      <c r="C2" s="12"/>
      <c r="D2" s="12"/>
      <c r="E2" s="12"/>
      <c r="F2" s="12"/>
      <c r="G2" s="12"/>
    </row>
    <row r="4" customFormat="false" ht="15" hidden="false" customHeight="true" outlineLevel="0" collapsed="false">
      <c r="B4" s="30"/>
      <c r="C4" s="30" t="s">
        <v>103</v>
      </c>
      <c r="D4" s="30" t="s">
        <v>104</v>
      </c>
      <c r="E4" s="30" t="s">
        <v>105</v>
      </c>
      <c r="F4" s="30" t="s">
        <v>106</v>
      </c>
      <c r="G4" s="30" t="s">
        <v>107</v>
      </c>
    </row>
    <row r="5" customFormat="false" ht="15" hidden="false" customHeight="true" outlineLevel="0" collapsed="false">
      <c r="B5" s="6" t="s">
        <v>123</v>
      </c>
      <c r="C5" s="38" t="n">
        <f aca="false">Inputs!$F$35</f>
        <v>0.82</v>
      </c>
      <c r="D5" s="38" t="n">
        <f aca="false">Inputs!$F$36</f>
        <v>0.18</v>
      </c>
      <c r="E5" s="38" t="n">
        <f aca="false">Inputs!$F$37</f>
        <v>0.16</v>
      </c>
      <c r="F5" s="38" t="n">
        <f aca="false">Inputs!$F$38</f>
        <v>0.14</v>
      </c>
      <c r="G5" s="38" t="n">
        <f aca="false">Inputs!$F$39</f>
        <v>0.12</v>
      </c>
    </row>
    <row r="6" customFormat="false" ht="15" hidden="false" customHeight="true" outlineLevel="0" collapsed="false">
      <c r="B6" s="6" t="s">
        <v>141</v>
      </c>
      <c r="C6" s="39" t="n">
        <f aca="false">Inputs!$C$11*(1+C5)</f>
        <v>392.938</v>
      </c>
      <c r="D6" s="25" t="n">
        <f aca="false">C6*(1+D5)</f>
        <v>463.66684</v>
      </c>
      <c r="E6" s="25" t="n">
        <f aca="false">D6*(1+E5)</f>
        <v>537.8535344</v>
      </c>
      <c r="F6" s="25" t="n">
        <f aca="false">E6*(1+F5)</f>
        <v>613.153029216</v>
      </c>
      <c r="G6" s="25" t="n">
        <f aca="false">F6*(1+G5)</f>
        <v>686.73139272192</v>
      </c>
    </row>
    <row r="7" customFormat="false" ht="15" hidden="false" customHeight="true" outlineLevel="0" collapsed="false">
      <c r="B7" s="6" t="s">
        <v>142</v>
      </c>
      <c r="C7" s="25" t="n">
        <f aca="false">C6*(1-C8)</f>
        <v>98.2345</v>
      </c>
      <c r="D7" s="25" t="n">
        <f aca="false">D6*(1-D8)</f>
        <v>120.5533784</v>
      </c>
      <c r="E7" s="25" t="n">
        <f aca="false">E6*(1-E8)</f>
        <v>145.220454288</v>
      </c>
      <c r="F7" s="25" t="n">
        <f aca="false">F6*(1-F8)</f>
        <v>168.6170830344</v>
      </c>
      <c r="G7" s="25" t="n">
        <f aca="false">G6*(1-G8)</f>
        <v>192.284789962138</v>
      </c>
    </row>
    <row r="8" customFormat="false" ht="15" hidden="false" customHeight="true" outlineLevel="0" collapsed="false">
      <c r="B8" s="6" t="s">
        <v>125</v>
      </c>
      <c r="C8" s="38" t="n">
        <f aca="false">Inputs!$F$43</f>
        <v>0.75</v>
      </c>
      <c r="D8" s="38" t="n">
        <f aca="false">Inputs!$F$44</f>
        <v>0.74</v>
      </c>
      <c r="E8" s="38" t="n">
        <f aca="false">Inputs!$F$45</f>
        <v>0.73</v>
      </c>
      <c r="F8" s="38" t="n">
        <f aca="false">Inputs!$F$46</f>
        <v>0.725</v>
      </c>
      <c r="G8" s="38" t="n">
        <f aca="false">Inputs!$F$47</f>
        <v>0.72</v>
      </c>
    </row>
    <row r="9" customFormat="false" ht="15" hidden="false" customHeight="true" outlineLevel="0" collapsed="false">
      <c r="B9" s="6" t="s">
        <v>143</v>
      </c>
      <c r="C9" s="25" t="n">
        <f aca="false">C6-C7</f>
        <v>294.7035</v>
      </c>
      <c r="D9" s="25" t="n">
        <f aca="false">D6-D7</f>
        <v>343.1134616</v>
      </c>
      <c r="E9" s="25" t="n">
        <f aca="false">E6-E7</f>
        <v>392.633080112</v>
      </c>
      <c r="F9" s="25" t="n">
        <f aca="false">F6-F7</f>
        <v>444.5359461816</v>
      </c>
      <c r="G9" s="25" t="n">
        <f aca="false">G6-G7</f>
        <v>494.446602759782</v>
      </c>
    </row>
    <row r="10" customFormat="false" ht="15" hidden="false" customHeight="true" outlineLevel="0" collapsed="false">
      <c r="B10" s="6" t="s">
        <v>144</v>
      </c>
      <c r="C10" s="38" t="n">
        <f aca="false">Inputs!$F$51</f>
        <v>0.095</v>
      </c>
      <c r="D10" s="38" t="n">
        <f aca="false">Inputs!$F$52</f>
        <v>0.09</v>
      </c>
      <c r="E10" s="38" t="n">
        <f aca="false">Inputs!$F$53</f>
        <v>0.085</v>
      </c>
      <c r="F10" s="38" t="n">
        <f aca="false">Inputs!$F$54</f>
        <v>0.085</v>
      </c>
      <c r="G10" s="38" t="n">
        <f aca="false">Inputs!$F$55</f>
        <v>0.085</v>
      </c>
    </row>
    <row r="11" customFormat="false" ht="15" hidden="false" customHeight="true" outlineLevel="0" collapsed="false">
      <c r="B11" s="6" t="s">
        <v>145</v>
      </c>
      <c r="C11" s="25" t="n">
        <f aca="false">C6*C10</f>
        <v>37.32911</v>
      </c>
      <c r="D11" s="25" t="n">
        <f aca="false">D6*D10</f>
        <v>41.7300156</v>
      </c>
      <c r="E11" s="25" t="n">
        <f aca="false">E6*E10</f>
        <v>45.717550424</v>
      </c>
      <c r="F11" s="25" t="n">
        <f aca="false">F6*F10</f>
        <v>52.11800748336</v>
      </c>
      <c r="G11" s="25" t="n">
        <f aca="false">G6*G10</f>
        <v>58.3721683813632</v>
      </c>
    </row>
    <row r="12" customFormat="false" ht="15" hidden="false" customHeight="true" outlineLevel="0" collapsed="false">
      <c r="B12" s="6" t="s">
        <v>146</v>
      </c>
      <c r="C12" s="25" t="n">
        <f aca="false">C9-C11</f>
        <v>257.37439</v>
      </c>
      <c r="D12" s="25" t="n">
        <f aca="false">D9-D11</f>
        <v>301.383446</v>
      </c>
      <c r="E12" s="25" t="n">
        <f aca="false">E9-E11</f>
        <v>346.915529688</v>
      </c>
      <c r="F12" s="25" t="n">
        <f aca="false">F9-F11</f>
        <v>392.41793869824</v>
      </c>
      <c r="G12" s="25" t="n">
        <f aca="false">G9-G11</f>
        <v>436.074434378419</v>
      </c>
    </row>
    <row r="13" customFormat="false" ht="15" hidden="false" customHeight="true" outlineLevel="0" collapsed="false">
      <c r="B13" s="6" t="s">
        <v>147</v>
      </c>
      <c r="C13" s="28" t="n">
        <f aca="false">C12/C6</f>
        <v>0.655</v>
      </c>
      <c r="D13" s="28" t="n">
        <f aca="false">D12/D6</f>
        <v>0.65</v>
      </c>
      <c r="E13" s="28" t="n">
        <f aca="false">E12/E6</f>
        <v>0.645</v>
      </c>
      <c r="F13" s="28" t="n">
        <f aca="false">F12/F6</f>
        <v>0.64</v>
      </c>
      <c r="G13" s="28" t="n">
        <f aca="false">G12/G6</f>
        <v>0.635</v>
      </c>
    </row>
    <row r="14" customFormat="false" ht="15" hidden="false" customHeight="true" outlineLevel="0" collapsed="false">
      <c r="B14" s="6" t="s">
        <v>148</v>
      </c>
      <c r="C14" s="25" t="n">
        <f aca="false">C12+C18</f>
        <v>265.23315</v>
      </c>
      <c r="D14" s="25" t="n">
        <f aca="false">D12+D18</f>
        <v>310.6567828</v>
      </c>
      <c r="E14" s="25" t="n">
        <f aca="false">E12+E18</f>
        <v>357.672600376</v>
      </c>
      <c r="F14" s="25" t="n">
        <f aca="false">F12+F18</f>
        <v>404.68099928256</v>
      </c>
      <c r="G14" s="25" t="n">
        <f aca="false">G12+G18</f>
        <v>449.809062232858</v>
      </c>
    </row>
    <row r="15" customFormat="false" ht="15" hidden="false" customHeight="true" outlineLevel="0" collapsed="false">
      <c r="B15" s="6" t="s">
        <v>149</v>
      </c>
      <c r="C15" s="38" t="n">
        <f aca="false">Inputs!$F$59</f>
        <v>0.17</v>
      </c>
      <c r="D15" s="38" t="n">
        <f aca="false">Inputs!$F$60</f>
        <v>0.18</v>
      </c>
      <c r="E15" s="38" t="n">
        <f aca="false">Inputs!$F$61</f>
        <v>0.19</v>
      </c>
      <c r="F15" s="38" t="n">
        <f aca="false">Inputs!$F$62</f>
        <v>0.2</v>
      </c>
      <c r="G15" s="38" t="n">
        <f aca="false">Inputs!$F$63</f>
        <v>0.21</v>
      </c>
    </row>
    <row r="16" customFormat="false" ht="15" hidden="false" customHeight="true" outlineLevel="0" collapsed="false">
      <c r="B16" s="6" t="s">
        <v>150</v>
      </c>
      <c r="C16" s="25" t="n">
        <f aca="false">C12*C15</f>
        <v>43.7536463</v>
      </c>
      <c r="D16" s="25" t="n">
        <f aca="false">D12*D15</f>
        <v>54.24902028</v>
      </c>
      <c r="E16" s="25" t="n">
        <f aca="false">E12*E15</f>
        <v>65.91395064072</v>
      </c>
      <c r="F16" s="25" t="n">
        <f aca="false">F12*F15</f>
        <v>78.483587739648</v>
      </c>
      <c r="G16" s="25" t="n">
        <f aca="false">G12*G15</f>
        <v>91.575631219468</v>
      </c>
    </row>
    <row r="17" customFormat="false" ht="15" hidden="false" customHeight="true" outlineLevel="0" collapsed="false">
      <c r="B17" s="6" t="s">
        <v>151</v>
      </c>
      <c r="C17" s="38" t="n">
        <f aca="false">Inputs!$F$67</f>
        <v>0.02</v>
      </c>
      <c r="D17" s="38" t="n">
        <f aca="false">Inputs!$F$68</f>
        <v>0.02</v>
      </c>
      <c r="E17" s="38" t="n">
        <f aca="false">Inputs!$F$69</f>
        <v>0.02</v>
      </c>
      <c r="F17" s="38" t="n">
        <f aca="false">Inputs!$F$70</f>
        <v>0.02</v>
      </c>
      <c r="G17" s="38" t="n">
        <f aca="false">Inputs!$F$71</f>
        <v>0.02</v>
      </c>
    </row>
    <row r="18" customFormat="false" ht="15" hidden="false" customHeight="true" outlineLevel="0" collapsed="false">
      <c r="B18" s="6" t="s">
        <v>152</v>
      </c>
      <c r="C18" s="25" t="n">
        <f aca="false">C6*C17</f>
        <v>7.85876</v>
      </c>
      <c r="D18" s="25" t="n">
        <f aca="false">D6*D17</f>
        <v>9.2733368</v>
      </c>
      <c r="E18" s="25" t="n">
        <f aca="false">E6*E17</f>
        <v>10.757070688</v>
      </c>
      <c r="F18" s="25" t="n">
        <f aca="false">F6*F17</f>
        <v>12.26306058432</v>
      </c>
      <c r="G18" s="25" t="n">
        <f aca="false">G6*G17</f>
        <v>13.7346278544384</v>
      </c>
    </row>
    <row r="19" customFormat="false" ht="15" hidden="false" customHeight="true" outlineLevel="0" collapsed="false">
      <c r="B19" s="6" t="s">
        <v>153</v>
      </c>
      <c r="C19" s="40" t="n">
        <f aca="false">C12-C16</f>
        <v>213.6207437</v>
      </c>
      <c r="D19" s="40" t="n">
        <f aca="false">D12-D16</f>
        <v>247.13442572</v>
      </c>
      <c r="E19" s="40" t="n">
        <f aca="false">E12-E16</f>
        <v>281.00157904728</v>
      </c>
      <c r="F19" s="40" t="n">
        <f aca="false">F12-F16</f>
        <v>313.934350958592</v>
      </c>
      <c r="G19" s="40" t="n">
        <f aca="false">G12-G16</f>
        <v>344.498803158951</v>
      </c>
    </row>
    <row r="21" customFormat="false" ht="15" hidden="false" customHeight="true" outlineLevel="0" collapsed="false">
      <c r="B21" s="6" t="s">
        <v>154</v>
      </c>
      <c r="C21" s="38" t="n">
        <f aca="false">Inputs!$F$75</f>
        <v>0.035</v>
      </c>
      <c r="D21" s="38" t="n">
        <f aca="false">Inputs!$F$76</f>
        <v>0.038</v>
      </c>
      <c r="E21" s="38" t="n">
        <f aca="false">Inputs!$F$77</f>
        <v>0.04</v>
      </c>
      <c r="F21" s="38" t="n">
        <f aca="false">Inputs!$F$78</f>
        <v>0.043</v>
      </c>
      <c r="G21" s="38" t="n">
        <f aca="false">Inputs!$F$79</f>
        <v>0.045</v>
      </c>
    </row>
    <row r="22" customFormat="false" ht="15" hidden="false" customHeight="true" outlineLevel="0" collapsed="false">
      <c r="B22" s="6" t="s">
        <v>155</v>
      </c>
      <c r="C22" s="25" t="n">
        <f aca="false">C6*C21</f>
        <v>13.75283</v>
      </c>
      <c r="D22" s="25" t="n">
        <f aca="false">D6*D21</f>
        <v>17.61933992</v>
      </c>
      <c r="E22" s="25" t="n">
        <f aca="false">E6*E21</f>
        <v>21.514141376</v>
      </c>
      <c r="F22" s="25" t="n">
        <f aca="false">F6*F21</f>
        <v>26.365580256288</v>
      </c>
      <c r="G22" s="25" t="n">
        <f aca="false">G6*G21</f>
        <v>30.9029126724864</v>
      </c>
    </row>
    <row r="23" customFormat="false" ht="15" hidden="false" customHeight="true" outlineLevel="0" collapsed="false">
      <c r="B23" s="6" t="s">
        <v>156</v>
      </c>
      <c r="C23" s="38" t="n">
        <f aca="false">Inputs!$F$83</f>
        <v>0.08</v>
      </c>
      <c r="D23" s="38" t="n">
        <f aca="false">Inputs!$F$84</f>
        <v>0.08</v>
      </c>
      <c r="E23" s="38" t="n">
        <f aca="false">Inputs!$F$85</f>
        <v>0.06</v>
      </c>
      <c r="F23" s="38" t="n">
        <f aca="false">Inputs!$F$86</f>
        <v>0.05</v>
      </c>
      <c r="G23" s="38" t="n">
        <f aca="false">Inputs!$F$87</f>
        <v>0.04</v>
      </c>
    </row>
    <row r="24" customFormat="false" ht="15" hidden="false" customHeight="true" outlineLevel="0" collapsed="false">
      <c r="B24" s="6" t="s">
        <v>157</v>
      </c>
      <c r="C24" s="39" t="n">
        <f aca="false">C6-Inputs!$C$11</f>
        <v>177.038</v>
      </c>
      <c r="D24" s="25" t="n">
        <f aca="false">D6-C6</f>
        <v>70.72884</v>
      </c>
      <c r="E24" s="25" t="n">
        <f aca="false">E6-D6</f>
        <v>74.1866944</v>
      </c>
      <c r="F24" s="25" t="n">
        <f aca="false">F6-E6</f>
        <v>75.2994948160001</v>
      </c>
      <c r="G24" s="25" t="n">
        <f aca="false">G6-F6</f>
        <v>73.57836350592</v>
      </c>
    </row>
    <row r="25" customFormat="false" ht="15" hidden="false" customHeight="true" outlineLevel="0" collapsed="false">
      <c r="B25" s="6" t="s">
        <v>158</v>
      </c>
      <c r="C25" s="25" t="n">
        <f aca="false">C24*C23</f>
        <v>14.16304</v>
      </c>
      <c r="D25" s="25" t="n">
        <f aca="false">D24*D23</f>
        <v>5.6583072</v>
      </c>
      <c r="E25" s="25" t="n">
        <f aca="false">E24*E23</f>
        <v>4.451201664</v>
      </c>
      <c r="F25" s="25" t="n">
        <f aca="false">F24*F23</f>
        <v>3.76497474080001</v>
      </c>
      <c r="G25" s="25" t="n">
        <f aca="false">G24*G23</f>
        <v>2.9431345402368</v>
      </c>
    </row>
    <row r="27" customFormat="false" ht="15" hidden="false" customHeight="true" outlineLevel="0" collapsed="false">
      <c r="B27" s="14" t="s">
        <v>159</v>
      </c>
      <c r="C27" s="41" t="n">
        <f aca="false">C19+C18-C22-C25</f>
        <v>193.5636337</v>
      </c>
      <c r="D27" s="41" t="n">
        <f aca="false">D19+D18-D22-D25</f>
        <v>233.1301154</v>
      </c>
      <c r="E27" s="41" t="n">
        <f aca="false">E19+E18-E22-E25</f>
        <v>265.79330669528</v>
      </c>
      <c r="F27" s="41" t="n">
        <f aca="false">F19+F18-F22-F25</f>
        <v>296.066856545824</v>
      </c>
      <c r="G27" s="41" t="n">
        <f aca="false">G19+G18-G22-G25</f>
        <v>324.387383800666</v>
      </c>
      <c r="I27" s="21" t="s">
        <v>160</v>
      </c>
    </row>
    <row r="29" customFormat="false" ht="15" hidden="false" customHeight="true" outlineLevel="0" collapsed="false">
      <c r="B29" s="6" t="s">
        <v>161</v>
      </c>
      <c r="C29" s="28" t="n">
        <f aca="false">C27/C6</f>
        <v>0.492606043956044</v>
      </c>
      <c r="D29" s="28" t="n">
        <f aca="false">D27/D6</f>
        <v>0.502796610169492</v>
      </c>
      <c r="E29" s="28" t="n">
        <f aca="false">E27/E6</f>
        <v>0.494174137931035</v>
      </c>
      <c r="F29" s="28" t="n">
        <f aca="false">F27/F6</f>
        <v>0.482859649122807</v>
      </c>
      <c r="G29" s="28" t="n">
        <f aca="false">G27/G6</f>
        <v>0.472364285714286</v>
      </c>
    </row>
  </sheetData>
  <mergeCells count="2">
    <mergeCell ref="B1:G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3"/>
    <col collapsed="false" customWidth="true" hidden="false" outlineLevel="0" max="5" min="5" style="1" width="60"/>
  </cols>
  <sheetData>
    <row r="1" customFormat="false" ht="18" hidden="false" customHeight="true" outlineLevel="0" collapsed="false">
      <c r="B1" s="13" t="s">
        <v>162</v>
      </c>
      <c r="C1" s="13"/>
    </row>
    <row r="3" customFormat="false" ht="18" hidden="false" customHeight="true" outlineLevel="0" collapsed="false">
      <c r="B3" s="13" t="s">
        <v>163</v>
      </c>
      <c r="C3" s="13"/>
    </row>
    <row r="4" customFormat="false" ht="15" hidden="false" customHeight="true" outlineLevel="0" collapsed="false">
      <c r="B4" s="6" t="s">
        <v>164</v>
      </c>
      <c r="C4" s="38" t="n">
        <f aca="false">Inputs!C14</f>
        <v>0.046</v>
      </c>
      <c r="E4" s="21" t="s">
        <v>165</v>
      </c>
    </row>
    <row r="5" customFormat="false" ht="15" hidden="false" customHeight="true" outlineLevel="0" collapsed="false">
      <c r="B5" s="6" t="s">
        <v>166</v>
      </c>
      <c r="C5" s="38" t="n">
        <f aca="false">Inputs!C15</f>
        <v>0.045</v>
      </c>
      <c r="E5" s="21" t="s">
        <v>167</v>
      </c>
    </row>
    <row r="6" customFormat="false" ht="15" hidden="false" customHeight="true" outlineLevel="0" collapsed="false">
      <c r="B6" s="6" t="s">
        <v>168</v>
      </c>
      <c r="C6" s="42" t="n">
        <f aca="false">Inputs!C16</f>
        <v>2.2</v>
      </c>
      <c r="E6" s="21" t="s">
        <v>169</v>
      </c>
    </row>
    <row r="7" customFormat="false" ht="15" hidden="false" customHeight="true" outlineLevel="0" collapsed="false">
      <c r="B7" s="5" t="s">
        <v>170</v>
      </c>
      <c r="C7" s="43" t="n">
        <f aca="false">C4+C6*C5</f>
        <v>0.145</v>
      </c>
    </row>
    <row r="9" customFormat="false" ht="18" hidden="false" customHeight="true" outlineLevel="0" collapsed="false">
      <c r="B9" s="13" t="s">
        <v>171</v>
      </c>
      <c r="C9" s="13"/>
    </row>
    <row r="10" customFormat="false" ht="15" hidden="false" customHeight="true" outlineLevel="0" collapsed="false">
      <c r="B10" s="6" t="s">
        <v>86</v>
      </c>
      <c r="C10" s="38" t="n">
        <f aca="false">Inputs!C18</f>
        <v>0.0525</v>
      </c>
      <c r="E10" s="21" t="s">
        <v>172</v>
      </c>
    </row>
    <row r="11" customFormat="false" ht="15" hidden="false" customHeight="true" outlineLevel="0" collapsed="false">
      <c r="B11" s="6" t="s">
        <v>173</v>
      </c>
      <c r="C11" s="38" t="n">
        <f aca="false">Inputs!C19</f>
        <v>0.21</v>
      </c>
    </row>
    <row r="12" customFormat="false" ht="15" hidden="false" customHeight="true" outlineLevel="0" collapsed="false">
      <c r="B12" s="5" t="s">
        <v>174</v>
      </c>
      <c r="C12" s="43" t="n">
        <f aca="false">C10*(1-C11)</f>
        <v>0.041475</v>
      </c>
    </row>
    <row r="14" customFormat="false" ht="18" hidden="false" customHeight="true" outlineLevel="0" collapsed="false">
      <c r="B14" s="13" t="s">
        <v>175</v>
      </c>
      <c r="C14" s="13"/>
    </row>
    <row r="15" customFormat="false" ht="15" hidden="false" customHeight="true" outlineLevel="0" collapsed="false">
      <c r="B15" s="6" t="s">
        <v>91</v>
      </c>
      <c r="C15" s="44" t="n">
        <f aca="false">Inputs!C21</f>
        <v>5207.3</v>
      </c>
    </row>
    <row r="16" customFormat="false" ht="15" hidden="false" customHeight="true" outlineLevel="0" collapsed="false">
      <c r="B16" s="6" t="s">
        <v>92</v>
      </c>
      <c r="C16" s="44" t="n">
        <f aca="false">Inputs!C22</f>
        <v>38</v>
      </c>
    </row>
    <row r="17" customFormat="false" ht="15" hidden="false" customHeight="true" outlineLevel="0" collapsed="false">
      <c r="B17" s="6" t="s">
        <v>93</v>
      </c>
      <c r="C17" s="28" t="n">
        <f aca="false">C15/(C15+C16)</f>
        <v>0.992755419137132</v>
      </c>
    </row>
    <row r="18" customFormat="false" ht="15" hidden="false" customHeight="true" outlineLevel="0" collapsed="false">
      <c r="B18" s="6" t="s">
        <v>94</v>
      </c>
      <c r="C18" s="28" t="n">
        <f aca="false">C16/(C15+C16)</f>
        <v>0.00724458086286771</v>
      </c>
    </row>
    <row r="20" customFormat="false" ht="18" hidden="false" customHeight="true" outlineLevel="0" collapsed="false">
      <c r="B20" s="13" t="s">
        <v>35</v>
      </c>
      <c r="C20" s="13"/>
    </row>
    <row r="21" customFormat="false" ht="15" hidden="false" customHeight="true" outlineLevel="0" collapsed="false">
      <c r="B21" s="14" t="s">
        <v>176</v>
      </c>
      <c r="C21" s="45" t="n">
        <f aca="false">C17*C7+C18*C12</f>
        <v>0.144250004766172</v>
      </c>
      <c r="E21" s="21" t="s">
        <v>177</v>
      </c>
    </row>
  </sheetData>
  <mergeCells count="5">
    <mergeCell ref="B1:C1"/>
    <mergeCell ref="B3:C3"/>
    <mergeCell ref="B9:C9"/>
    <mergeCell ref="B14:C14"/>
    <mergeCell ref="B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7" min="3" style="1" width="13"/>
    <col collapsed="false" customWidth="true" hidden="false" outlineLevel="0" max="8" min="8" style="1" width="3"/>
    <col collapsed="false" customWidth="true" hidden="false" outlineLevel="0" max="9" min="9" style="1" width="55"/>
  </cols>
  <sheetData>
    <row r="1" customFormat="false" ht="18" hidden="false" customHeight="true" outlineLevel="0" collapsed="false">
      <c r="B1" s="13" t="s">
        <v>178</v>
      </c>
      <c r="C1" s="13"/>
      <c r="D1" s="13"/>
      <c r="E1" s="13"/>
      <c r="F1" s="13"/>
      <c r="G1" s="13"/>
    </row>
    <row r="2" customFormat="false" ht="15" hidden="false" customHeight="true" outlineLevel="0" collapsed="false">
      <c r="B2" s="12" t="s">
        <v>179</v>
      </c>
      <c r="C2" s="12"/>
      <c r="D2" s="12"/>
      <c r="E2" s="12"/>
      <c r="F2" s="12"/>
      <c r="G2" s="12"/>
    </row>
    <row r="4" customFormat="false" ht="15" hidden="false" customHeight="true" outlineLevel="0" collapsed="false">
      <c r="B4" s="30"/>
      <c r="C4" s="30" t="s">
        <v>103</v>
      </c>
      <c r="D4" s="30" t="s">
        <v>104</v>
      </c>
      <c r="E4" s="30" t="s">
        <v>105</v>
      </c>
      <c r="F4" s="30" t="s">
        <v>106</v>
      </c>
      <c r="G4" s="30" t="s">
        <v>107</v>
      </c>
    </row>
    <row r="5" customFormat="false" ht="15" hidden="false" customHeight="true" outlineLevel="0" collapsed="false">
      <c r="B5" s="6" t="s">
        <v>180</v>
      </c>
      <c r="C5" s="35" t="n">
        <v>1</v>
      </c>
      <c r="D5" s="35" t="n">
        <v>2</v>
      </c>
      <c r="E5" s="35" t="n">
        <v>3</v>
      </c>
      <c r="F5" s="35" t="n">
        <v>4</v>
      </c>
      <c r="G5" s="35" t="n">
        <v>5</v>
      </c>
    </row>
    <row r="6" customFormat="false" ht="15" hidden="false" customHeight="true" outlineLevel="0" collapsed="false">
      <c r="B6" s="6" t="s">
        <v>159</v>
      </c>
      <c r="C6" s="39" t="n">
        <f aca="false">Forecast!C27</f>
        <v>193.5636337</v>
      </c>
      <c r="D6" s="39" t="n">
        <f aca="false">Forecast!D27</f>
        <v>233.1301154</v>
      </c>
      <c r="E6" s="39" t="n">
        <f aca="false">Forecast!E27</f>
        <v>265.79330669528</v>
      </c>
      <c r="F6" s="39" t="n">
        <f aca="false">Forecast!F27</f>
        <v>296.066856545824</v>
      </c>
      <c r="G6" s="39" t="n">
        <f aca="false">Forecast!G27</f>
        <v>324.387383800666</v>
      </c>
    </row>
    <row r="7" customFormat="false" ht="15" hidden="false" customHeight="true" outlineLevel="0" collapsed="false">
      <c r="B7" s="6" t="s">
        <v>181</v>
      </c>
      <c r="C7" s="46" t="n">
        <f aca="false">1/(1+Inputs!$F$29)^C5</f>
        <v>0.873934888210335</v>
      </c>
      <c r="D7" s="46" t="n">
        <f aca="false">1/(1+Inputs!$F$29)^D5</f>
        <v>0.763762188831212</v>
      </c>
      <c r="E7" s="46" t="n">
        <f aca="false">1/(1+Inputs!$F$29)^E5</f>
        <v>0.667478423115486</v>
      </c>
      <c r="F7" s="46" t="n">
        <f aca="false">1/(1+Inputs!$F$29)^F5</f>
        <v>0.583332681088243</v>
      </c>
      <c r="G7" s="46" t="n">
        <f aca="false">1/(1+Inputs!$F$29)^G5</f>
        <v>0.509794781436289</v>
      </c>
    </row>
    <row r="8" customFormat="false" ht="15" hidden="false" customHeight="true" outlineLevel="0" collapsed="false">
      <c r="B8" s="6" t="s">
        <v>182</v>
      </c>
      <c r="C8" s="25" t="n">
        <f aca="false">C6*C7</f>
        <v>169.162012579196</v>
      </c>
      <c r="D8" s="25" t="n">
        <f aca="false">D6*D7</f>
        <v>178.055967220377</v>
      </c>
      <c r="E8" s="25" t="n">
        <f aca="false">E6*E7</f>
        <v>177.411297227616</v>
      </c>
      <c r="F8" s="25" t="n">
        <f aca="false">F6*F7</f>
        <v>172.705473210244</v>
      </c>
      <c r="G8" s="25" t="n">
        <f aca="false">G6*G7</f>
        <v>165.37099542535</v>
      </c>
    </row>
    <row r="10" customFormat="false" ht="15" hidden="false" customHeight="true" outlineLevel="0" collapsed="false">
      <c r="B10" s="14" t="s">
        <v>183</v>
      </c>
      <c r="C10" s="41" t="n">
        <f aca="false">SUM(C8:G8)</f>
        <v>862.705745662783</v>
      </c>
    </row>
    <row r="12" customFormat="false" ht="18" hidden="false" customHeight="true" outlineLevel="0" collapsed="false">
      <c r="B12" s="13" t="s">
        <v>184</v>
      </c>
      <c r="C12" s="13"/>
    </row>
    <row r="13" customFormat="false" ht="15" hidden="false" customHeight="true" outlineLevel="0" collapsed="false">
      <c r="B13" s="6" t="s">
        <v>100</v>
      </c>
      <c r="C13" s="38" t="n">
        <f aca="false">Inputs!$F$30</f>
        <v>0.035</v>
      </c>
    </row>
    <row r="14" customFormat="false" ht="15" hidden="false" customHeight="true" outlineLevel="0" collapsed="false">
      <c r="B14" s="6" t="s">
        <v>185</v>
      </c>
      <c r="C14" s="44" t="n">
        <f aca="false">G6*(1+C13)/(Inputs!$F$29-C13)</f>
        <v>3073.14350193648</v>
      </c>
    </row>
    <row r="15" customFormat="false" ht="15" hidden="false" customHeight="true" outlineLevel="0" collapsed="false">
      <c r="B15" s="6" t="s">
        <v>186</v>
      </c>
      <c r="C15" s="29" t="n">
        <f aca="false">C14*G7</f>
        <v>1566.67251989206</v>
      </c>
    </row>
    <row r="16" customFormat="false" ht="15" hidden="false" customHeight="true" outlineLevel="0" collapsed="false">
      <c r="B16" s="5" t="s">
        <v>187</v>
      </c>
      <c r="C16" s="47" t="n">
        <f aca="false">C10+C15</f>
        <v>2429.37826555484</v>
      </c>
    </row>
    <row r="17" customFormat="false" ht="15" hidden="false" customHeight="true" outlineLevel="0" collapsed="false">
      <c r="B17" s="6" t="s">
        <v>188</v>
      </c>
      <c r="C17" s="44" t="n">
        <f aca="false">Inputs!$C$10</f>
        <v>15.2</v>
      </c>
    </row>
    <row r="18" customFormat="false" ht="15" hidden="false" customHeight="true" outlineLevel="0" collapsed="false">
      <c r="B18" s="5" t="s">
        <v>189</v>
      </c>
      <c r="C18" s="47" t="n">
        <f aca="false">C16+C17</f>
        <v>2444.57826555484</v>
      </c>
    </row>
    <row r="19" customFormat="false" ht="15" hidden="false" customHeight="true" outlineLevel="0" collapsed="false">
      <c r="B19" s="6" t="s">
        <v>190</v>
      </c>
      <c r="C19" s="48" t="n">
        <f aca="false">Inputs!$C$7</f>
        <v>24.22</v>
      </c>
    </row>
    <row r="20" customFormat="false" ht="15" hidden="false" customHeight="true" outlineLevel="0" collapsed="false">
      <c r="B20" s="18" t="s">
        <v>191</v>
      </c>
      <c r="C20" s="49" t="n">
        <f aca="false">C18/C19</f>
        <v>100.932215753709</v>
      </c>
    </row>
    <row r="22" customFormat="false" ht="18" hidden="false" customHeight="true" outlineLevel="0" collapsed="false">
      <c r="B22" s="13" t="s">
        <v>192</v>
      </c>
      <c r="C22" s="13"/>
    </row>
    <row r="23" customFormat="false" ht="15" hidden="false" customHeight="true" outlineLevel="0" collapsed="false">
      <c r="B23" s="6" t="s">
        <v>193</v>
      </c>
      <c r="C23" s="50" t="n">
        <f aca="false">Inputs!$F$31</f>
        <v>18</v>
      </c>
    </row>
    <row r="24" customFormat="false" ht="15" hidden="false" customHeight="true" outlineLevel="0" collapsed="false">
      <c r="B24" s="6" t="s">
        <v>194</v>
      </c>
      <c r="C24" s="44" t="n">
        <f aca="false">Forecast!G14</f>
        <v>449.809062232858</v>
      </c>
    </row>
    <row r="25" customFormat="false" ht="15" hidden="false" customHeight="true" outlineLevel="0" collapsed="false">
      <c r="B25" s="6" t="s">
        <v>195</v>
      </c>
      <c r="C25" s="29" t="n">
        <f aca="false">C24*C23</f>
        <v>8096.56312019144</v>
      </c>
    </row>
    <row r="26" customFormat="false" ht="15" hidden="false" customHeight="true" outlineLevel="0" collapsed="false">
      <c r="B26" s="6" t="s">
        <v>186</v>
      </c>
      <c r="C26" s="29" t="n">
        <f aca="false">C25*G7</f>
        <v>4127.58562624311</v>
      </c>
    </row>
    <row r="27" customFormat="false" ht="15" hidden="false" customHeight="true" outlineLevel="0" collapsed="false">
      <c r="B27" s="5" t="s">
        <v>196</v>
      </c>
      <c r="C27" s="47" t="n">
        <f aca="false">C10+C26</f>
        <v>4990.29137190589</v>
      </c>
    </row>
    <row r="28" customFormat="false" ht="15" hidden="false" customHeight="true" outlineLevel="0" collapsed="false">
      <c r="B28" s="6" t="s">
        <v>188</v>
      </c>
      <c r="C28" s="44" t="n">
        <f aca="false">Inputs!$C$10</f>
        <v>15.2</v>
      </c>
    </row>
    <row r="29" customFormat="false" ht="15" hidden="false" customHeight="true" outlineLevel="0" collapsed="false">
      <c r="B29" s="5" t="s">
        <v>197</v>
      </c>
      <c r="C29" s="47" t="n">
        <f aca="false">C27+C28</f>
        <v>5005.49137190589</v>
      </c>
    </row>
    <row r="30" customFormat="false" ht="15" hidden="false" customHeight="true" outlineLevel="0" collapsed="false">
      <c r="B30" s="6" t="s">
        <v>190</v>
      </c>
      <c r="C30" s="48" t="n">
        <f aca="false">Inputs!$C$7</f>
        <v>24.22</v>
      </c>
    </row>
    <row r="31" customFormat="false" ht="15" hidden="false" customHeight="true" outlineLevel="0" collapsed="false">
      <c r="B31" s="18" t="s">
        <v>198</v>
      </c>
      <c r="C31" s="49" t="n">
        <f aca="false">C29/C30</f>
        <v>206.667686701317</v>
      </c>
    </row>
    <row r="33" customFormat="false" ht="18" hidden="false" customHeight="true" outlineLevel="0" collapsed="false">
      <c r="B33" s="13" t="s">
        <v>199</v>
      </c>
      <c r="C33" s="13"/>
    </row>
    <row r="34" customFormat="false" ht="15" hidden="false" customHeight="true" outlineLevel="0" collapsed="false">
      <c r="B34" s="6" t="s">
        <v>200</v>
      </c>
      <c r="C34" s="51" t="n">
        <f aca="false">Inputs!$C$6</f>
        <v>215</v>
      </c>
    </row>
    <row r="35" customFormat="false" ht="15" hidden="false" customHeight="true" outlineLevel="0" collapsed="false">
      <c r="B35" s="6" t="s">
        <v>201</v>
      </c>
      <c r="C35" s="28" t="n">
        <f aca="false">C20/C34-1</f>
        <v>-0.530547833703677</v>
      </c>
    </row>
    <row r="36" customFormat="false" ht="15" hidden="false" customHeight="true" outlineLevel="0" collapsed="false">
      <c r="B36" s="6" t="s">
        <v>202</v>
      </c>
      <c r="C36" s="28" t="n">
        <f aca="false">C31/C34-1</f>
        <v>-0.0387549455752705</v>
      </c>
    </row>
  </sheetData>
  <mergeCells count="5">
    <mergeCell ref="B1:G1"/>
    <mergeCell ref="B2:G2"/>
    <mergeCell ref="B12:C12"/>
    <mergeCell ref="B22:C22"/>
    <mergeCell ref="B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7" min="3" style="1" width="12"/>
    <col collapsed="false" customWidth="true" hidden="false" outlineLevel="0" max="8" min="8" style="1" width="14"/>
    <col collapsed="false" customWidth="true" hidden="false" outlineLevel="0" max="9" min="9" style="1" width="3"/>
    <col collapsed="false" customWidth="true" hidden="false" outlineLevel="0" max="10" min="10" style="1" width="60"/>
  </cols>
  <sheetData>
    <row r="1" customFormat="false" ht="18" hidden="false" customHeight="true" outlineLevel="0" collapsed="false">
      <c r="B1" s="13" t="s">
        <v>203</v>
      </c>
      <c r="C1" s="13"/>
      <c r="D1" s="13"/>
      <c r="E1" s="13"/>
      <c r="F1" s="13"/>
      <c r="G1" s="13"/>
      <c r="H1" s="13"/>
    </row>
    <row r="2" customFormat="false" ht="15" hidden="false" customHeight="true" outlineLevel="0" collapsed="false">
      <c r="B2" s="12" t="s">
        <v>204</v>
      </c>
      <c r="C2" s="12"/>
      <c r="D2" s="12"/>
      <c r="E2" s="12"/>
      <c r="F2" s="12"/>
      <c r="G2" s="12"/>
      <c r="H2" s="12"/>
    </row>
    <row r="4" customFormat="false" ht="18" hidden="false" customHeight="true" outlineLevel="0" collapsed="false">
      <c r="B4" s="13" t="s">
        <v>205</v>
      </c>
      <c r="C4" s="13"/>
      <c r="D4" s="13"/>
      <c r="E4" s="13"/>
      <c r="F4" s="13"/>
      <c r="G4" s="13"/>
      <c r="H4" s="13"/>
    </row>
    <row r="5" customFormat="false" ht="15" hidden="false" customHeight="true" outlineLevel="0" collapsed="false">
      <c r="B5" s="30" t="s">
        <v>206</v>
      </c>
      <c r="C5" s="30" t="n">
        <v>1</v>
      </c>
      <c r="D5" s="30" t="n">
        <v>2</v>
      </c>
      <c r="E5" s="30" t="n">
        <v>3</v>
      </c>
      <c r="F5" s="30" t="n">
        <v>4</v>
      </c>
      <c r="G5" s="30" t="n">
        <v>5</v>
      </c>
      <c r="H5" s="30" t="s">
        <v>207</v>
      </c>
    </row>
    <row r="6" customFormat="false" ht="15" hidden="false" customHeight="true" outlineLevel="0" collapsed="false">
      <c r="B6" s="26" t="n">
        <v>0.125</v>
      </c>
      <c r="C6" s="52" t="n">
        <f aca="false">1/(1+$B6)^C$5</f>
        <v>0.888888888888889</v>
      </c>
      <c r="D6" s="52" t="n">
        <f aca="false">1/(1+$B6)^D$5</f>
        <v>0.790123456790123</v>
      </c>
      <c r="E6" s="52" t="n">
        <f aca="false">1/(1+$B6)^E$5</f>
        <v>0.702331961591221</v>
      </c>
      <c r="F6" s="52" t="n">
        <f aca="false">1/(1+$B6)^F$5</f>
        <v>0.624295076969974</v>
      </c>
      <c r="G6" s="52" t="n">
        <f aca="false">1/(1+$B6)^G$5</f>
        <v>0.554928957306644</v>
      </c>
      <c r="H6" s="44" t="n">
        <f aca="false">SUMPRODUCT(C6:G6,Forecast!$C$27:$G$27)</f>
        <v>907.778304071198</v>
      </c>
    </row>
    <row r="7" customFormat="false" ht="15" hidden="false" customHeight="true" outlineLevel="0" collapsed="false">
      <c r="B7" s="26" t="n">
        <v>0.135</v>
      </c>
      <c r="C7" s="52" t="n">
        <f aca="false">1/(1+$B7)^C$5</f>
        <v>0.881057268722467</v>
      </c>
      <c r="D7" s="52" t="n">
        <f aca="false">1/(1+$B7)^D$5</f>
        <v>0.776261910768693</v>
      </c>
      <c r="E7" s="52" t="n">
        <f aca="false">1/(1+$B7)^E$5</f>
        <v>0.683931198915148</v>
      </c>
      <c r="F7" s="52" t="n">
        <f aca="false">1/(1+$B7)^F$5</f>
        <v>0.602582554110263</v>
      </c>
      <c r="G7" s="52" t="n">
        <f aca="false">1/(1+$B7)^G$5</f>
        <v>0.530909739304196</v>
      </c>
      <c r="H7" s="44" t="n">
        <f aca="false">SUMPRODUCT(C7:G7,Forecast!$C$27:$G$27)</f>
        <v>883.920154153534</v>
      </c>
    </row>
    <row r="8" customFormat="false" ht="15" hidden="false" customHeight="true" outlineLevel="0" collapsed="false">
      <c r="B8" s="26" t="n">
        <v>0.144</v>
      </c>
      <c r="C8" s="52" t="n">
        <f aca="false">1/(1+$B8)^C$5</f>
        <v>0.874125874125874</v>
      </c>
      <c r="D8" s="52" t="n">
        <f aca="false">1/(1+$B8)^D$5</f>
        <v>0.764096043816324</v>
      </c>
      <c r="E8" s="52" t="n">
        <f aca="false">1/(1+$B8)^E$5</f>
        <v>0.667916122217066</v>
      </c>
      <c r="F8" s="52" t="n">
        <f aca="false">1/(1+$B8)^F$5</f>
        <v>0.583842764175757</v>
      </c>
      <c r="G8" s="52" t="n">
        <f aca="false">1/(1+$B8)^G$5</f>
        <v>0.5103520665872</v>
      </c>
      <c r="H8" s="44" t="n">
        <f aca="false">SUMPRODUCT(C8:G8,Forecast!$C$27:$G$27)</f>
        <v>863.268677701766</v>
      </c>
    </row>
    <row r="9" customFormat="false" ht="15" hidden="false" customHeight="true" outlineLevel="0" collapsed="false">
      <c r="B9" s="26" t="n">
        <v>0.155</v>
      </c>
      <c r="C9" s="52" t="n">
        <f aca="false">1/(1+$B9)^C$5</f>
        <v>0.865800865800866</v>
      </c>
      <c r="D9" s="52" t="n">
        <f aca="false">1/(1+$B9)^D$5</f>
        <v>0.749611139221529</v>
      </c>
      <c r="E9" s="52" t="n">
        <f aca="false">1/(1+$B9)^E$5</f>
        <v>0.649013973351973</v>
      </c>
      <c r="F9" s="52" t="n">
        <f aca="false">1/(1+$B9)^F$5</f>
        <v>0.561916860044998</v>
      </c>
      <c r="G9" s="52" t="n">
        <f aca="false">1/(1+$B9)^G$5</f>
        <v>0.486508103935063</v>
      </c>
      <c r="H9" s="44" t="n">
        <f aca="false">SUMPRODUCT(C9:G9,Forecast!$C$27:$G$27)</f>
        <v>839.030112532466</v>
      </c>
    </row>
    <row r="10" customFormat="false" ht="15" hidden="false" customHeight="true" outlineLevel="0" collapsed="false">
      <c r="B10" s="26" t="n">
        <v>0.165</v>
      </c>
      <c r="C10" s="52" t="n">
        <f aca="false">1/(1+$B10)^C$5</f>
        <v>0.858369098712446</v>
      </c>
      <c r="D10" s="52" t="n">
        <f aca="false">1/(1+$B10)^D$5</f>
        <v>0.736797509624417</v>
      </c>
      <c r="E10" s="52" t="n">
        <f aca="false">1/(1+$B10)^E$5</f>
        <v>0.632444214269886</v>
      </c>
      <c r="F10" s="52" t="n">
        <f aca="false">1/(1+$B10)^F$5</f>
        <v>0.542870570188744</v>
      </c>
      <c r="G10" s="52" t="n">
        <f aca="false">1/(1+$B10)^G$5</f>
        <v>0.465983322050424</v>
      </c>
      <c r="H10" s="44" t="n">
        <f aca="false">SUMPRODUCT(C10:G10,Forecast!$C$27:$G$27)</f>
        <v>817.90326322054</v>
      </c>
    </row>
    <row r="13" customFormat="false" ht="18" hidden="false" customHeight="true" outlineLevel="0" collapsed="false">
      <c r="B13" s="13" t="s">
        <v>208</v>
      </c>
      <c r="C13" s="13"/>
      <c r="D13" s="13"/>
      <c r="E13" s="13"/>
      <c r="F13" s="13"/>
      <c r="G13" s="13"/>
      <c r="H13" s="13"/>
    </row>
    <row r="14" customFormat="false" ht="15" hidden="false" customHeight="true" outlineLevel="0" collapsed="false">
      <c r="B14" s="30" t="s">
        <v>209</v>
      </c>
      <c r="C14" s="53" t="n">
        <v>0.025</v>
      </c>
      <c r="D14" s="53" t="n">
        <v>0.03</v>
      </c>
      <c r="E14" s="53" t="n">
        <v>0.035</v>
      </c>
      <c r="F14" s="53" t="n">
        <v>0.04</v>
      </c>
      <c r="G14" s="53" t="n">
        <v>0.045</v>
      </c>
    </row>
    <row r="15" customFormat="false" ht="15" hidden="false" customHeight="true" outlineLevel="0" collapsed="false">
      <c r="B15" s="28" t="n">
        <f aca="false">B6</f>
        <v>0.125</v>
      </c>
      <c r="C15" s="36" t="n">
        <f aca="false">($H6+(Forecast!$G$27*(1+C$14)/($B15-C$14))*$G6+Inputs!$C$10)/Inputs!$C$7</f>
        <v>114.289876911417</v>
      </c>
      <c r="D15" s="36" t="n">
        <f aca="false">($H6+(Forecast!$G$27*(1+D$14)/($B15-D$14))*$G6+Inputs!$C$10)/Inputs!$C$7</f>
        <v>118.69062111451</v>
      </c>
      <c r="E15" s="36" t="n">
        <f aca="false">($H6+(Forecast!$G$27*(1+E$14)/($B15-E$14))*$G6+Inputs!$C$10)/Inputs!$C$7</f>
        <v>123.580336895724</v>
      </c>
      <c r="F15" s="36" t="n">
        <f aca="false">($H6+(Forecast!$G$27*(1+F$14)/($B15-F$14))*$G6+Inputs!$C$10)/Inputs!$C$7</f>
        <v>129.045313357081</v>
      </c>
      <c r="G15" s="36" t="n">
        <f aca="false">($H6+(Forecast!$G$27*(1+G$14)/($B15-G$14))*$G6+Inputs!$C$10)/Inputs!$C$7</f>
        <v>135.193411876108</v>
      </c>
    </row>
    <row r="16" customFormat="false" ht="15" hidden="false" customHeight="true" outlineLevel="0" collapsed="false">
      <c r="B16" s="28" t="n">
        <f aca="false">B7</f>
        <v>0.135</v>
      </c>
      <c r="C16" s="36" t="n">
        <f aca="false">($H7+(Forecast!$G$27*(1+C$14)/($B16-C$14))*$G7+Inputs!$C$10)/Inputs!$C$7</f>
        <v>103.3815587637</v>
      </c>
      <c r="D16" s="36" t="n">
        <f aca="false">($H7+(Forecast!$G$27*(1+D$14)/($B16-D$14))*$G7+Inputs!$C$10)/Inputs!$C$7</f>
        <v>106.875329398891</v>
      </c>
      <c r="E16" s="36" t="n">
        <f aca="false">($H7+(Forecast!$G$27*(1+E$14)/($B16-E$14))*$G7+Inputs!$C$10)/Inputs!$C$7</f>
        <v>110.7184770976</v>
      </c>
      <c r="F16" s="36" t="n">
        <f aca="false">($H7+(Forecast!$G$27*(1+F$14)/($B16-F$14))*$G7+Inputs!$C$10)/Inputs!$C$7</f>
        <v>114.966166659331</v>
      </c>
      <c r="G16" s="36" t="n">
        <f aca="false">($H7+(Forecast!$G$27*(1+G$14)/($B16-G$14))*$G7+Inputs!$C$10)/Inputs!$C$7</f>
        <v>119.685821727921</v>
      </c>
    </row>
    <row r="17" customFormat="false" ht="15" hidden="false" customHeight="true" outlineLevel="0" collapsed="false">
      <c r="B17" s="28" t="n">
        <f aca="false">B8</f>
        <v>0.144</v>
      </c>
      <c r="C17" s="36" t="n">
        <f aca="false">($H8+(Forecast!$G$27*(1+C$14)/($B17-C$14))*$G8+Inputs!$C$10)/Inputs!$C$7</f>
        <v>95.1461527858887</v>
      </c>
      <c r="D17" s="36" t="n">
        <f aca="false">($H8+(Forecast!$G$27*(1+D$14)/($B17-D$14))*$G8+Inputs!$C$10)/Inputs!$C$7</f>
        <v>98.0282187065971</v>
      </c>
      <c r="E17" s="54" t="n">
        <f aca="false">($H8+(Forecast!$G$27*(1+E$14)/($B17-E$14))*$G8+Inputs!$C$10)/Inputs!$C$7</f>
        <v>101.174694344802</v>
      </c>
      <c r="F17" s="36" t="n">
        <f aca="false">($H8+(Forecast!$G$27*(1+F$14)/($B17-F$14))*$G8+Inputs!$C$10)/Inputs!$C$7</f>
        <v>104.623715717449</v>
      </c>
      <c r="G17" s="36" t="n">
        <f aca="false">($H8+(Forecast!$G$27*(1+G$14)/($B17-G$14))*$G8+Inputs!$C$10)/Inputs!$C$7</f>
        <v>108.421123087334</v>
      </c>
    </row>
    <row r="18" customFormat="false" ht="15" hidden="false" customHeight="true" outlineLevel="0" collapsed="false">
      <c r="B18" s="28" t="n">
        <f aca="false">B9</f>
        <v>0.155</v>
      </c>
      <c r="C18" s="36" t="n">
        <f aca="false">($H9+(Forecast!$G$27*(1+C$14)/($B18-C$14))*$G9+Inputs!$C$10)/Inputs!$C$7</f>
        <v>86.6456307369534</v>
      </c>
      <c r="D18" s="36" t="n">
        <f aca="false">($H9+(Forecast!$G$27*(1+D$14)/($B18-D$14))*$G9+Inputs!$C$10)/Inputs!$C$7</f>
        <v>88.9613105964907</v>
      </c>
      <c r="E18" s="36" t="n">
        <f aca="false">($H9+(Forecast!$G$27*(1+E$14)/($B18-E$14))*$G9+Inputs!$C$10)/Inputs!$C$7</f>
        <v>91.4699637776562</v>
      </c>
      <c r="F18" s="36" t="n">
        <f aca="false">($H9+(Forecast!$G$27*(1+F$14)/($B18-F$14))*$G9+Inputs!$C$10)/Inputs!$C$7</f>
        <v>94.1967607137056</v>
      </c>
      <c r="G18" s="36" t="n">
        <f aca="false">($H9+(Forecast!$G$27*(1+G$14)/($B18-G$14))*$G9+Inputs!$C$10)/Inputs!$C$7</f>
        <v>97.1714482803049</v>
      </c>
    </row>
    <row r="19" customFormat="false" ht="15" hidden="false" customHeight="true" outlineLevel="0" collapsed="false">
      <c r="B19" s="28" t="n">
        <f aca="false">B10</f>
        <v>0.165</v>
      </c>
      <c r="C19" s="36" t="n">
        <f aca="false">($H10+(Forecast!$G$27*(1+C$14)/($B19-C$14))*$G10+Inputs!$C$10)/Inputs!$C$7</f>
        <v>80.0909948548788</v>
      </c>
      <c r="D19" s="36" t="n">
        <f aca="false">($H10+(Forecast!$G$27*(1+D$14)/($B19-D$14))*$G10+Inputs!$C$10)/Inputs!$C$7</f>
        <v>82.0145042638449</v>
      </c>
      <c r="E19" s="36" t="n">
        <f aca="false">($H10+(Forecast!$G$27*(1+E$14)/($B19-E$14))*$G10+Inputs!$C$10)/Inputs!$C$7</f>
        <v>84.0859759350392</v>
      </c>
      <c r="F19" s="36" t="n">
        <f aca="false">($H10+(Forecast!$G$27*(1+F$14)/($B19-F$14))*$G10+Inputs!$C$10)/Inputs!$C$7</f>
        <v>86.323165339929</v>
      </c>
      <c r="G19" s="36" t="n">
        <f aca="false">($H10+(Forecast!$G$27*(1+G$14)/($B19-G$14))*$G10+Inputs!$C$10)/Inputs!$C$7</f>
        <v>88.7467871952263</v>
      </c>
    </row>
    <row r="21" customFormat="false" ht="18" hidden="false" customHeight="true" outlineLevel="0" collapsed="false">
      <c r="B21" s="13" t="s">
        <v>210</v>
      </c>
      <c r="C21" s="13"/>
      <c r="D21" s="13"/>
      <c r="E21" s="13"/>
      <c r="F21" s="13"/>
      <c r="G21" s="13"/>
      <c r="H21" s="13"/>
    </row>
    <row r="22" customFormat="false" ht="15" hidden="false" customHeight="true" outlineLevel="0" collapsed="false">
      <c r="B22" s="30" t="s">
        <v>211</v>
      </c>
      <c r="C22" s="55" t="n">
        <v>14</v>
      </c>
      <c r="D22" s="55" t="n">
        <v>16</v>
      </c>
      <c r="E22" s="55" t="n">
        <v>18</v>
      </c>
      <c r="F22" s="55" t="n">
        <v>20</v>
      </c>
      <c r="G22" s="55" t="n">
        <v>22</v>
      </c>
    </row>
    <row r="23" customFormat="false" ht="15" hidden="false" customHeight="true" outlineLevel="0" collapsed="false">
      <c r="B23" s="28" t="n">
        <f aca="false">B6</f>
        <v>0.125</v>
      </c>
      <c r="C23" s="36" t="n">
        <f aca="false">($H6+(Forecast!$G$14*C$22)*$G6+Inputs!$C$10)/Inputs!$C$7</f>
        <v>182.392540815798</v>
      </c>
      <c r="D23" s="36" t="n">
        <f aca="false">($H6+(Forecast!$G$14*D$22)*$G6+Inputs!$C$10)/Inputs!$C$7</f>
        <v>203.004603069469</v>
      </c>
      <c r="E23" s="36" t="n">
        <f aca="false">($H6+(Forecast!$G$14*E$22)*$G6+Inputs!$C$10)/Inputs!$C$7</f>
        <v>223.61666532314</v>
      </c>
      <c r="F23" s="36" t="n">
        <f aca="false">($H6+(Forecast!$G$14*F$22)*$G6+Inputs!$C$10)/Inputs!$C$7</f>
        <v>244.228727576811</v>
      </c>
      <c r="G23" s="36" t="n">
        <f aca="false">($H6+(Forecast!$G$14*G$22)*$G6+Inputs!$C$10)/Inputs!$C$7</f>
        <v>264.840789830483</v>
      </c>
    </row>
    <row r="24" customFormat="false" ht="15" hidden="false" customHeight="true" outlineLevel="0" collapsed="false">
      <c r="B24" s="28" t="n">
        <f aca="false">B7</f>
        <v>0.135</v>
      </c>
      <c r="C24" s="36" t="n">
        <f aca="false">($H7+(Forecast!$G$14*C$22)*$G7+Inputs!$C$10)/Inputs!$C$7</f>
        <v>175.162358451176</v>
      </c>
      <c r="D24" s="36" t="n">
        <f aca="false">($H7+(Forecast!$G$14*D$22)*$G7+Inputs!$C$10)/Inputs!$C$7</f>
        <v>194.882260347684</v>
      </c>
      <c r="E24" s="36" t="n">
        <f aca="false">($H7+(Forecast!$G$14*E$22)*$G7+Inputs!$C$10)/Inputs!$C$7</f>
        <v>214.602162244192</v>
      </c>
      <c r="F24" s="36" t="n">
        <f aca="false">($H7+(Forecast!$G$14*F$22)*$G7+Inputs!$C$10)/Inputs!$C$7</f>
        <v>234.3220641407</v>
      </c>
      <c r="G24" s="36" t="n">
        <f aca="false">($H7+(Forecast!$G$14*G$22)*$G7+Inputs!$C$10)/Inputs!$C$7</f>
        <v>254.041966037208</v>
      </c>
    </row>
    <row r="25" customFormat="false" ht="15" hidden="false" customHeight="true" outlineLevel="0" collapsed="false">
      <c r="B25" s="28" t="n">
        <f aca="false">B8</f>
        <v>0.144</v>
      </c>
      <c r="C25" s="36" t="n">
        <f aca="false">($H8+(Forecast!$G$14*C$22)*$G8+Inputs!$C$10)/Inputs!$C$7</f>
        <v>168.964593741718</v>
      </c>
      <c r="D25" s="36" t="n">
        <f aca="false">($H8+(Forecast!$G$14*D$22)*$G8+Inputs!$C$10)/Inputs!$C$7</f>
        <v>187.92090955346</v>
      </c>
      <c r="E25" s="54" t="n">
        <f aca="false">($H8+(Forecast!$G$14*E$22)*$G8+Inputs!$C$10)/Inputs!$C$7</f>
        <v>206.877225365201</v>
      </c>
      <c r="F25" s="36" t="n">
        <f aca="false">($H8+(Forecast!$G$14*F$22)*$G8+Inputs!$C$10)/Inputs!$C$7</f>
        <v>225.833541176943</v>
      </c>
      <c r="G25" s="36" t="n">
        <f aca="false">($H8+(Forecast!$G$14*G$22)*$G8+Inputs!$C$10)/Inputs!$C$7</f>
        <v>244.789856988684</v>
      </c>
    </row>
    <row r="26" customFormat="false" ht="15" hidden="false" customHeight="true" outlineLevel="0" collapsed="false">
      <c r="B26" s="28" t="n">
        <f aca="false">B9</f>
        <v>0.155</v>
      </c>
      <c r="C26" s="36" t="n">
        <f aca="false">($H9+(Forecast!$G$14*C$22)*$G9+Inputs!$C$10)/Inputs!$C$7</f>
        <v>161.764272028427</v>
      </c>
      <c r="D26" s="36" t="n">
        <f aca="false">($H9+(Forecast!$G$14*D$22)*$G9+Inputs!$C$10)/Inputs!$C$7</f>
        <v>179.834937098593</v>
      </c>
      <c r="E26" s="36" t="n">
        <f aca="false">($H9+(Forecast!$G$14*E$22)*$G9+Inputs!$C$10)/Inputs!$C$7</f>
        <v>197.90560216876</v>
      </c>
      <c r="F26" s="36" t="n">
        <f aca="false">($H9+(Forecast!$G$14*F$22)*$G9+Inputs!$C$10)/Inputs!$C$7</f>
        <v>215.976267238926</v>
      </c>
      <c r="G26" s="36" t="n">
        <f aca="false">($H9+(Forecast!$G$14*G$22)*$G9+Inputs!$C$10)/Inputs!$C$7</f>
        <v>234.046932309093</v>
      </c>
    </row>
    <row r="27" customFormat="false" ht="15" hidden="false" customHeight="true" outlineLevel="0" collapsed="false">
      <c r="B27" s="28" t="n">
        <f aca="false">B10</f>
        <v>0.165</v>
      </c>
      <c r="C27" s="36" t="n">
        <f aca="false">($H10+(Forecast!$G$14*C$22)*$G10+Inputs!$C$10)/Inputs!$C$7</f>
        <v>155.555431821952</v>
      </c>
      <c r="D27" s="36" t="n">
        <f aca="false">($H10+(Forecast!$G$14*D$22)*$G10+Inputs!$C$10)/Inputs!$C$7</f>
        <v>172.863732491453</v>
      </c>
      <c r="E27" s="36" t="n">
        <f aca="false">($H10+(Forecast!$G$14*E$22)*$G10+Inputs!$C$10)/Inputs!$C$7</f>
        <v>190.172033160953</v>
      </c>
      <c r="F27" s="36" t="n">
        <f aca="false">($H10+(Forecast!$G$14*F$22)*$G10+Inputs!$C$10)/Inputs!$C$7</f>
        <v>207.480333830454</v>
      </c>
      <c r="G27" s="36" t="n">
        <f aca="false">($H10+(Forecast!$G$14*G$22)*$G10+Inputs!$C$10)/Inputs!$C$7</f>
        <v>224.788634499955</v>
      </c>
    </row>
    <row r="29" customFormat="false" ht="15" hidden="false" customHeight="true" outlineLevel="0" collapsed="false">
      <c r="B29" s="12" t="s">
        <v>212</v>
      </c>
      <c r="C29" s="12"/>
      <c r="D29" s="12"/>
      <c r="E29" s="12"/>
      <c r="F29" s="12"/>
      <c r="G29" s="12"/>
      <c r="H29" s="12"/>
    </row>
  </sheetData>
  <mergeCells count="6">
    <mergeCell ref="B1:H1"/>
    <mergeCell ref="B2:H2"/>
    <mergeCell ref="B4:H4"/>
    <mergeCell ref="B13:H13"/>
    <mergeCell ref="B21:H21"/>
    <mergeCell ref="B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6"/>
    <col collapsed="false" customWidth="true" hidden="false" outlineLevel="0" max="5" min="5" style="1" width="3"/>
    <col collapsed="false" customWidth="true" hidden="false" outlineLevel="0" max="6" min="6" style="1" width="55"/>
  </cols>
  <sheetData>
    <row r="1" customFormat="false" ht="15" hidden="false" customHeight="true" outlineLevel="0" collapsed="false">
      <c r="A1" s="2"/>
      <c r="B1" s="2"/>
      <c r="C1" s="2"/>
      <c r="D1" s="2"/>
      <c r="E1" s="2"/>
      <c r="F1" s="2"/>
    </row>
    <row r="2" customFormat="false" ht="19.5" hidden="false" customHeight="true" outlineLevel="0" collapsed="false">
      <c r="A2" s="2"/>
      <c r="B2" s="3" t="s">
        <v>213</v>
      </c>
      <c r="C2" s="3"/>
      <c r="D2" s="3"/>
      <c r="E2" s="2"/>
      <c r="F2" s="2"/>
    </row>
    <row r="3" customFormat="false" ht="15" hidden="false" customHeight="true" outlineLevel="0" collapsed="false">
      <c r="A3" s="2"/>
      <c r="B3" s="2"/>
      <c r="C3" s="2"/>
      <c r="D3" s="2"/>
      <c r="E3" s="2"/>
      <c r="F3" s="2"/>
    </row>
    <row r="5" customFormat="false" ht="18.75" hidden="false" customHeight="true" outlineLevel="0" collapsed="false">
      <c r="B5" s="5" t="s">
        <v>15</v>
      </c>
      <c r="C5" s="56" t="str">
        <f aca="false">Inputs!C3</f>
        <v>Base</v>
      </c>
      <c r="F5" s="21" t="s">
        <v>214</v>
      </c>
    </row>
    <row r="7" customFormat="false" ht="18" hidden="false" customHeight="true" outlineLevel="0" collapsed="false">
      <c r="B7" s="13" t="s">
        <v>215</v>
      </c>
      <c r="C7" s="13"/>
      <c r="D7" s="13"/>
    </row>
    <row r="8" customFormat="false" ht="15" hidden="false" customHeight="true" outlineLevel="0" collapsed="false">
      <c r="B8" s="6" t="s">
        <v>200</v>
      </c>
      <c r="C8" s="51" t="n">
        <f aca="false">Inputs!C6</f>
        <v>215</v>
      </c>
    </row>
    <row r="9" customFormat="false" ht="15" hidden="false" customHeight="true" outlineLevel="0" collapsed="false">
      <c r="B9" s="6" t="s">
        <v>216</v>
      </c>
      <c r="C9" s="38" t="n">
        <f aca="false">Inputs!F29</f>
        <v>0.144250004766172</v>
      </c>
    </row>
    <row r="10" customFormat="false" ht="15" hidden="false" customHeight="true" outlineLevel="0" collapsed="false">
      <c r="B10" s="6" t="s">
        <v>217</v>
      </c>
      <c r="C10" s="38" t="n">
        <f aca="false">Inputs!F30</f>
        <v>0.035</v>
      </c>
    </row>
    <row r="11" customFormat="false" ht="15" hidden="false" customHeight="true" outlineLevel="0" collapsed="false">
      <c r="B11" s="6" t="s">
        <v>218</v>
      </c>
      <c r="C11" s="50" t="n">
        <f aca="false">Inputs!F31</f>
        <v>18</v>
      </c>
    </row>
    <row r="12" customFormat="false" ht="15" hidden="false" customHeight="true" outlineLevel="0" collapsed="false">
      <c r="B12" s="6" t="s">
        <v>219</v>
      </c>
      <c r="C12" s="51" t="n">
        <f aca="false">DCF!C20</f>
        <v>100.932215753709</v>
      </c>
    </row>
    <row r="13" customFormat="false" ht="15" hidden="false" customHeight="true" outlineLevel="0" collapsed="false">
      <c r="B13" s="6" t="s">
        <v>220</v>
      </c>
      <c r="C13" s="38" t="n">
        <f aca="false">DCF!C35</f>
        <v>-0.530547833703677</v>
      </c>
    </row>
    <row r="14" customFormat="false" ht="15" hidden="false" customHeight="true" outlineLevel="0" collapsed="false">
      <c r="B14" s="6" t="s">
        <v>221</v>
      </c>
      <c r="C14" s="51" t="n">
        <f aca="false">DCF!C31</f>
        <v>206.667686701317</v>
      </c>
    </row>
    <row r="15" customFormat="false" ht="15" hidden="false" customHeight="true" outlineLevel="0" collapsed="false">
      <c r="B15" s="6" t="s">
        <v>222</v>
      </c>
      <c r="C15" s="38" t="n">
        <f aca="false">DCF!C36</f>
        <v>-0.0387549455752705</v>
      </c>
    </row>
    <row r="16" customFormat="false" ht="15" hidden="false" customHeight="true" outlineLevel="0" collapsed="false">
      <c r="B16" s="6" t="s">
        <v>223</v>
      </c>
      <c r="C16" s="44" t="n">
        <f aca="false">Forecast!C6</f>
        <v>392.938</v>
      </c>
    </row>
    <row r="17" customFormat="false" ht="15" hidden="false" customHeight="true" outlineLevel="0" collapsed="false">
      <c r="B17" s="6" t="s">
        <v>224</v>
      </c>
      <c r="C17" s="44" t="n">
        <f aca="false">Forecast!G6</f>
        <v>686.73139272192</v>
      </c>
    </row>
    <row r="18" customFormat="false" ht="15" hidden="false" customHeight="true" outlineLevel="0" collapsed="false">
      <c r="B18" s="6" t="s">
        <v>225</v>
      </c>
      <c r="C18" s="44" t="n">
        <f aca="false">Forecast!G27</f>
        <v>324.387383800666</v>
      </c>
    </row>
    <row r="19" customFormat="false" ht="15" hidden="false" customHeight="true" outlineLevel="0" collapsed="false">
      <c r="B19" s="6" t="s">
        <v>226</v>
      </c>
      <c r="C19" s="38" t="n">
        <f aca="false">(Forecast!G6/Inputs!C11)^(1/5)-1</f>
        <v>0.260395522536032</v>
      </c>
    </row>
    <row r="21" customFormat="false" ht="18" hidden="false" customHeight="true" outlineLevel="0" collapsed="false">
      <c r="B21" s="13" t="s">
        <v>227</v>
      </c>
      <c r="C21" s="13"/>
      <c r="D21" s="13"/>
    </row>
    <row r="22" customFormat="false" ht="90" hidden="false" customHeight="true" outlineLevel="0" collapsed="false">
      <c r="B22" s="12" t="s">
        <v>228</v>
      </c>
      <c r="C22" s="12"/>
      <c r="D22" s="12"/>
    </row>
    <row r="23" customFormat="false" ht="15" hidden="false" customHeight="true" outlineLevel="0" collapsed="false">
      <c r="B23" s="12"/>
      <c r="C23" s="12"/>
      <c r="D23" s="12"/>
    </row>
    <row r="24" customFormat="false" ht="15" hidden="false" customHeight="true" outlineLevel="0" collapsed="false">
      <c r="B24" s="12"/>
      <c r="C24" s="12"/>
      <c r="D24" s="12"/>
    </row>
    <row r="25" customFormat="false" ht="15" hidden="false" customHeight="true" outlineLevel="0" collapsed="false">
      <c r="B25" s="12"/>
      <c r="C25" s="12"/>
      <c r="D25" s="12"/>
    </row>
  </sheetData>
  <mergeCells count="4">
    <mergeCell ref="B2:D2"/>
    <mergeCell ref="B7:D7"/>
    <mergeCell ref="B21:D21"/>
    <mergeCell ref="B22: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900"/>
    <pageSetUpPr fitToPage="false"/>
  </sheetPr>
  <dimension ref="B1:N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s>
  <sheetData>
    <row r="1" customFormat="false" ht="18" hidden="false" customHeight="true" outlineLevel="0" collapsed="false">
      <c r="B1" s="13" t="s">
        <v>229</v>
      </c>
      <c r="C1" s="13"/>
      <c r="D1" s="13"/>
      <c r="E1" s="13"/>
      <c r="F1" s="13"/>
      <c r="G1" s="13"/>
      <c r="H1" s="13"/>
      <c r="I1" s="13"/>
      <c r="J1" s="13"/>
      <c r="K1" s="13"/>
      <c r="L1" s="13"/>
      <c r="M1" s="13"/>
      <c r="N1" s="13"/>
    </row>
    <row r="3" customFormat="false" ht="15" hidden="false" customHeight="true" outlineLevel="0" collapsed="false">
      <c r="B3" s="5" t="s">
        <v>230</v>
      </c>
      <c r="C3" s="57" t="s">
        <v>231</v>
      </c>
      <c r="D3" s="57" t="s">
        <v>232</v>
      </c>
      <c r="E3" s="57" t="s">
        <v>233</v>
      </c>
      <c r="F3" s="57" t="s">
        <v>234</v>
      </c>
      <c r="G3" s="57" t="s">
        <v>235</v>
      </c>
      <c r="H3" s="57" t="s">
        <v>236</v>
      </c>
      <c r="I3" s="57" t="s">
        <v>237</v>
      </c>
      <c r="J3" s="57" t="s">
        <v>238</v>
      </c>
      <c r="K3" s="57" t="s">
        <v>239</v>
      </c>
      <c r="L3" s="57" t="s">
        <v>240</v>
      </c>
    </row>
    <row r="4" customFormat="false" ht="15" hidden="false" customHeight="true" outlineLevel="0" collapsed="false">
      <c r="B4" s="5" t="s">
        <v>121</v>
      </c>
      <c r="C4" s="58" t="n">
        <f aca="false">Historical!C6</f>
        <v>26.91</v>
      </c>
      <c r="D4" s="58" t="n">
        <f aca="false">Historical!D6</f>
        <v>26.97</v>
      </c>
      <c r="E4" s="58" t="n">
        <f aca="false">Historical!E6</f>
        <v>60.92</v>
      </c>
      <c r="F4" s="58" t="n">
        <f aca="false">Historical!F6</f>
        <v>130.5</v>
      </c>
      <c r="G4" s="58" t="n">
        <f aca="false">Historical!G6</f>
        <v>215.9</v>
      </c>
      <c r="H4" s="58" t="n">
        <f aca="false">Forecast!C6</f>
        <v>392.938</v>
      </c>
      <c r="I4" s="58" t="n">
        <f aca="false">Forecast!D6</f>
        <v>463.66684</v>
      </c>
      <c r="J4" s="58" t="n">
        <f aca="false">Forecast!E6</f>
        <v>537.8535344</v>
      </c>
      <c r="K4" s="58" t="n">
        <f aca="false">Forecast!F6</f>
        <v>613.153029216</v>
      </c>
      <c r="L4" s="58" t="n">
        <f aca="false">Forecast!G6</f>
        <v>686.73139272192</v>
      </c>
    </row>
    <row r="5" customFormat="false" ht="15" hidden="false" customHeight="true" outlineLevel="0" collapsed="false">
      <c r="B5" s="5" t="s">
        <v>241</v>
      </c>
      <c r="H5" s="58" t="n">
        <f aca="false">Forecast!C27</f>
        <v>193.5636337</v>
      </c>
      <c r="I5" s="58" t="n">
        <f aca="false">Forecast!D27</f>
        <v>233.1301154</v>
      </c>
      <c r="J5" s="58" t="n">
        <f aca="false">Forecast!E27</f>
        <v>265.79330669528</v>
      </c>
      <c r="K5" s="58" t="n">
        <f aca="false">Forecast!F27</f>
        <v>296.066856545824</v>
      </c>
      <c r="L5" s="58" t="n">
        <f aca="false">Forecast!G27</f>
        <v>324.387383800666</v>
      </c>
    </row>
  </sheetData>
  <mergeCells count="1">
    <mergeCell ref="B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2026-08-08T22:20:11Z</dcterms:created>
  <dc:creator>openpyxl</dc:creator>
  <dc:description/>
  <dc:language>en-US</dc:language>
  <cp:lastModifiedBy/>
  <dcterms:modified xsi:type="dcterms:W3CDTF">2026-08-09T23:29:49Z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